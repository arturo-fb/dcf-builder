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uarterly" sheetId="1" state="visible" r:id="rId3"/>
    <sheet name="DCF" sheetId="2" state="visible" r:id="rId4"/>
    <sheet name="Valuation Summary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<sst xmlns="http://schemas.openxmlformats.org/spreadsheetml/2006/main" count="253" uniqueCount="236">
  <si>
    <t xml:space="preserve">Every blue number is typed from the SEC filing linked in its column header (click the header). One 10-K gives FY-2 to FY0; the latest 10-Q gives both YTD columns and the balance sheet. TTM = FY0 + YTD current − YTD prior. Black = formulas.</t>
  </si>
  <si>
    <t xml:space="preserve">Company name</t>
  </si>
  <si>
    <t xml:space="preserve">Ticker</t>
  </si>
  <si>
    <t xml:space="preserve">Metric</t>
  </si>
  <si>
    <t xml:space="preserve">Where to find it (manual entry guide)</t>
  </si>
  <si>
    <t xml:space="preserve">Source / notes</t>
  </si>
  <si>
    <t xml:space="preserve">Period end date</t>
  </si>
  <si>
    <t xml:space="preserve">FY0 = fiscal year of the latest 10-K. YTD = latest 10-Q period end (leave blank if no 10-Q yet).</t>
  </si>
  <si>
    <t xml:space="preserve">Source filing URL (headers in row 6 link here)</t>
  </si>
  <si>
    <t xml:space="preserve">same 10-K →</t>
  </si>
  <si>
    <t xml:space="preserve">same 10-Q →</t>
  </si>
  <si>
    <t xml:space="preserve">EDGAR link to the 10-K (D8) and latest 10-Q (G8). One 10-K carries 3 years of IS and CF.</t>
  </si>
  <si>
    <t xml:space="preserve">Fiscal quarters in YTD period (0–3)</t>
  </si>
  <si>
    <t xml:space="preserve">Q1 10-Q = 1, Q2 = 2, Q3 = 3. Use 0 when the 10-K is the latest filing.</t>
  </si>
  <si>
    <t xml:space="preserve">Income statement – standardized (LSEG / IBKR layout). Enter expenses as positive numbers.</t>
  </si>
  <si>
    <t xml:space="preserve">Revenue (total)</t>
  </si>
  <si>
    <t xml:space="preserve">IS top line: 'Total revenue' / 'Net sales'.</t>
  </si>
  <si>
    <t xml:space="preserve">Cost of revenue</t>
  </si>
  <si>
    <t xml:space="preserve">IS: cost of revenue / cost of sales / cost of goods sold.</t>
  </si>
  <si>
    <t xml:space="preserve">Gross profit</t>
  </si>
  <si>
    <t xml:space="preserve">Selling/General/Admin. expenses, total</t>
  </si>
  <si>
    <t xml:space="preserve">Sum of S&amp;M + G&amp;A (+ ops &amp; support, other SG&amp;A-type lines).</t>
  </si>
  <si>
    <t xml:space="preserve">Research &amp; development</t>
  </si>
  <si>
    <t xml:space="preserve">IS: R&amp;D / product development / technology &amp; development.</t>
  </si>
  <si>
    <t xml:space="preserve">Other operating expense (income), net</t>
  </si>
  <si>
    <t xml:space="preserve">Impairments, restructuring, other operating lines above operating income.</t>
  </si>
  <si>
    <t xml:space="preserve">Total operating expense</t>
  </si>
  <si>
    <t xml:space="preserve">Operating income</t>
  </si>
  <si>
    <t xml:space="preserve">  Operating income as reported (check)</t>
  </si>
  <si>
    <t xml:space="preserve">IS: 'Income from operations' – proves the lines above tie.</t>
  </si>
  <si>
    <t xml:space="preserve">  Difference (should be 0)</t>
  </si>
  <si>
    <t xml:space="preserve">Interest expense</t>
  </si>
  <si>
    <t xml:space="preserve">IS or debt note. Enter positive. 0 if it is buried in 'other' (say so in notes).</t>
  </si>
  <si>
    <t xml:space="preserve">Other non-operating income (expense), net – incl. interest income</t>
  </si>
  <si>
    <t xml:space="preserve">IS: interest income + other income/expense. Income positive, expense negative.</t>
  </si>
  <si>
    <t xml:space="preserve">Pre-tax income</t>
  </si>
  <si>
    <t xml:space="preserve">Provision for income taxes</t>
  </si>
  <si>
    <t xml:space="preserve">IS: income tax expense (benefit negative).</t>
  </si>
  <si>
    <t xml:space="preserve">Net income</t>
  </si>
  <si>
    <t xml:space="preserve">  Net income as reported (check)</t>
  </si>
  <si>
    <t xml:space="preserve">IS: net income attributable to the company.</t>
  </si>
  <si>
    <t xml:space="preserve">Adjusted EBITDA – universal build (operating income + D&amp;A + SBC + other add-backs)</t>
  </si>
  <si>
    <t xml:space="preserve">Depreciation &amp; amortization</t>
  </si>
  <si>
    <t xml:space="preserve">Cash flow statement, first adjustments under net income.</t>
  </si>
  <si>
    <t xml:space="preserve">Stock-based compensation</t>
  </si>
  <si>
    <t xml:space="preserve">Cash flow statement: stock-based compensation expense.</t>
  </si>
  <si>
    <t xml:space="preserve">Other non-recurring add-backs (0 if none)</t>
  </si>
  <si>
    <t xml:space="preserve">Company's Adj. EBITDA reconciliation items not above (e.g. restructuring, legal/tax reserves).</t>
  </si>
  <si>
    <t xml:space="preserve">Adjusted EBITDA</t>
  </si>
  <si>
    <t xml:space="preserve">  Adjusted EBITDA as reported (optional check)</t>
  </si>
  <si>
    <t xml:space="preserve">MD&amp;A / earnings release reconciliation. Leave blank if not reported.</t>
  </si>
  <si>
    <t xml:space="preserve">Cash flow statement</t>
  </si>
  <si>
    <t xml:space="preserve">Net cash provided by operating activities</t>
  </si>
  <si>
    <t xml:space="preserve">CF statement: operating activities total.</t>
  </si>
  <si>
    <t xml:space="preserve">Capital expenditures (enter negative)</t>
  </si>
  <si>
    <t xml:space="preserve">CF: purchases of property &amp; equipment (+ capitalized software if material).</t>
  </si>
  <si>
    <t xml:space="preserve">Free cash flow (= CFO + capex)</t>
  </si>
  <si>
    <t xml:space="preserve">Changes in operating assets &amp; liabilities, net (cash-flow sign)</t>
  </si>
  <si>
    <t xml:space="preserve">CF: sum of the 'changes in operating assets and liabilities' lines. Negative = cash invested.</t>
  </si>
  <si>
    <t xml:space="preserve">Balance sheet &amp; shares – latest 10-Q (column G; use FY0 10-K if no 10-Q yet)</t>
  </si>
  <si>
    <t xml:space="preserve">Cash and cash equivalents</t>
  </si>
  <si>
    <t xml:space="preserve">Balance sheet, current assets.</t>
  </si>
  <si>
    <t xml:space="preserve">Short-term investments / marketable securities</t>
  </si>
  <si>
    <t xml:space="preserve">Debt – current portion</t>
  </si>
  <si>
    <t xml:space="preserve">Balance sheet: current debt / notes due within 1 year.</t>
  </si>
  <si>
    <t xml:space="preserve">Debt – long-term, net</t>
  </si>
  <si>
    <t xml:space="preserve">Balance sheet: long-term debt (excl. operating leases).</t>
  </si>
  <si>
    <t xml:space="preserve">Total debt</t>
  </si>
  <si>
    <t xml:space="preserve">Cash + short-term investments</t>
  </si>
  <si>
    <t xml:space="preserve">Diluted weighted-avg. shares, latest quarter (mm)</t>
  </si>
  <si>
    <t xml:space="preserve">10-Q income statement: diluted weighted-average shares for the latest 3-month period.</t>
  </si>
  <si>
    <t xml:space="preserve">Revenue bridge input (for current-year estimate on the DCF sheet)</t>
  </si>
  <si>
    <t xml:space="preserve">Prior-year revenue of the next (guided) quarter</t>
  </si>
  <si>
    <t xml:space="preserve">Same quarter last year (e.g. guiding Q3'26 → Q3'25 revenue from last year's 10-Q).</t>
  </si>
  <si>
    <t xml:space="preserve">Derived metrics (formulas)</t>
  </si>
  <si>
    <t xml:space="preserve">Revenue growth YoY</t>
  </si>
  <si>
    <t xml:space="preserve">Gross margin</t>
  </si>
  <si>
    <t xml:space="preserve">Operating margin</t>
  </si>
  <si>
    <t xml:space="preserve">Adj. EBITDA margin</t>
  </si>
  <si>
    <t xml:space="preserve">Net income margin</t>
  </si>
  <si>
    <t xml:space="preserve">FCF margin</t>
  </si>
  <si>
    <t xml:space="preserve">FCF / Adj. EBITDA</t>
  </si>
  <si>
    <t xml:space="preserve">SBC % of revenue</t>
  </si>
  <si>
    <t xml:space="preserve">D&amp;A % of revenue</t>
  </si>
  <si>
    <t xml:space="preserve">Capex % of revenue</t>
  </si>
  <si>
    <t xml:space="preserve">Effective tax rate (tax / pre-tax income)</t>
  </si>
  <si>
    <t xml:space="preserve">NWC investment % of change in revenue</t>
  </si>
  <si>
    <t xml:space="preserve">Values the DCF uses (column D)</t>
  </si>
  <si>
    <t xml:space="preserve">Capex % of revenue – 3-year average</t>
  </si>
  <si>
    <t xml:space="preserve">Feeds DCF capex % (FY+1 to FY+5).</t>
  </si>
  <si>
    <t xml:space="preserve">NWC % of change in revenue – 2-year average</t>
  </si>
  <si>
    <t xml:space="preserve">Feeds DCF NWC %. Override in notes if one year is distorted by a one-off.</t>
  </si>
  <si>
    <t xml:space="preserve">Highest full-year Adj. EBITDA margin (FY-2 to FY0)</t>
  </si>
  <si>
    <t xml:space="preserve">Feeds the DCF long-term margin target – a level the company has already delivered.</t>
  </si>
  <si>
    <t xml:space="preserve">Debt schedule – notes outstanding (10-K debt footnote; prices from FINRA TRACE). Feeds cost of debt.</t>
  </si>
  <si>
    <t xml:space="preserve">Note / facility</t>
  </si>
  <si>
    <t xml:space="preserve">Principal ($mm)</t>
  </si>
  <si>
    <t xml:space="preserve">Coupon</t>
  </si>
  <si>
    <t xml:space="preserve">Maturity</t>
  </si>
  <si>
    <t xml:space="preserve">Price (% of par)</t>
  </si>
  <si>
    <t xml:space="preserve">YTM</t>
  </si>
  <si>
    <t xml:space="preserve">Weight</t>
  </si>
  <si>
    <t xml:space="preserve">Where to find it</t>
  </si>
  <si>
    <t xml:space="preserve">10-K note 'Debt': each note's principal, coupon, maturity.</t>
  </si>
  <si>
    <t xml:space="preserve">Price: FINRA TRACE last trade (finra-markets.morningstar.com).</t>
  </si>
  <si>
    <t xml:space="preserve">No price → YTM falls back to the coupon.</t>
  </si>
  <si>
    <t xml:space="preserve">Converts: use straight-debt yield, not the convert's price.</t>
  </si>
  <si>
    <t xml:space="preserve">Total / principal-weighted YTM</t>
  </si>
  <si>
    <t xml:space="preserve">Notes:</t>
  </si>
  <si>
    <t xml:space="preserve">• Adjusted EBITDA here = operating income + D&amp;A + SBC + other add-backs; the check row ties it to the company's reported figure when one exists.</t>
  </si>
  <si>
    <t xml:space="preserve">• Units: $ millions. Convert filings reported in thousands (÷1,000) or billions (×1,000).</t>
  </si>
  <si>
    <t xml:space="preserve">• YTD columns are the cumulative 10-Q figures (10-Q cash flow statements are already year-to-date).</t>
  </si>
  <si>
    <t xml:space="preserve">Discounted Cash Flow (DCF)</t>
  </si>
  <si>
    <t xml:space="preserve">Valuation date</t>
  </si>
  <si>
    <t xml:space="preserve">Pricing date for share price, Rf and bond YTMs</t>
  </si>
  <si>
    <t xml:space="preserve">Blue = input you edit  |  Black = formula  |  Green = link from another sheet  |  Yellow = key assumptions.</t>
  </si>
  <si>
    <t xml:space="preserve">KEY ASSUMPTIONS ($ in millions, except per share)</t>
  </si>
  <si>
    <t xml:space="preserve">Source/ Justification</t>
  </si>
  <si>
    <t xml:space="preserve">COST OF EQUITY (CAPM)</t>
  </si>
  <si>
    <t xml:space="preserve">Base year revenue (FY0)</t>
  </si>
  <si>
    <t xml:space="preserve">Latest actual fiscal-year revenue</t>
  </si>
  <si>
    <t xml:space="preserve">YTD revenue (actual, latest 10-Q)</t>
  </si>
  <si>
    <t xml:space="preserve">Latest 10-Q (Quarterly sheet, col G)</t>
  </si>
  <si>
    <t xml:space="preserve">Risk-free rate (10Y Treasury, FRED DGS10)</t>
  </si>
  <si>
    <t xml:space="preserve">FRED DGS10 – live pull on Windows Excel; Mac uses the fallback below</t>
  </si>
  <si>
    <t xml:space="preserve">Tax rate</t>
  </si>
  <si>
    <t xml:space="preserve">FY0 effective rate (tax ÷ pre-tax income), applied to EBIT</t>
  </si>
  <si>
    <t xml:space="preserve">Prior-year revenue of guided quarter</t>
  </si>
  <si>
    <t xml:space="preserve">Last year's 10-Q</t>
  </si>
  <si>
    <t xml:space="preserve">BETA</t>
  </si>
  <si>
    <t xml:space="preserve">[Beta source]</t>
  </si>
  <si>
    <t xml:space="preserve">WACC (discount rate)</t>
  </si>
  <si>
    <t xml:space="preserve">Build separately (CAPM cost of equity + after-tax cost of debt)</t>
  </si>
  <si>
    <t xml:space="preserve">Next-quarter revenue guidance – low</t>
  </si>
  <si>
    <t xml:space="preserve">[Company outlook – cite]</t>
  </si>
  <si>
    <t xml:space="preserve">Equity risk premium</t>
  </si>
  <si>
    <t xml:space="preserve">[ERP source – e.g. Kroll recommended U.S. ERP]</t>
  </si>
  <si>
    <t xml:space="preserve">Terminal growth rate</t>
  </si>
  <si>
    <t xml:space="preserve">[Justify: long-term nominal GDP growth – cite source]</t>
  </si>
  <si>
    <t xml:space="preserve">Next-quarter revenue guidance – high</t>
  </si>
  <si>
    <t xml:space="preserve">[Same]</t>
  </si>
  <si>
    <t xml:space="preserve">Cost of equity  (Rf + Beta x ERP)</t>
  </si>
  <si>
    <t xml:space="preserve">Latest 10-Q balance sheet</t>
  </si>
  <si>
    <t xml:space="preserve">Guided quarter revenue (midpoint; YTD growth if no guidance)</t>
  </si>
  <si>
    <t xml:space="preserve">  10Y yield fallback (last FRED close; used on Mac)</t>
  </si>
  <si>
    <t xml:space="preserve">[FRED DGS10 close and its date]</t>
  </si>
  <si>
    <t xml:space="preserve">Guided quarter implied YoY growth</t>
  </si>
  <si>
    <t xml:space="preserve">vs same quarter last year</t>
  </si>
  <si>
    <t xml:space="preserve">COST OF DEBT</t>
  </si>
  <si>
    <t xml:space="preserve">Net cash</t>
  </si>
  <si>
    <t xml:space="preserve">Rest of year = prior-year remainder × (1 + guided growth)</t>
  </si>
  <si>
    <t xml:space="preserve">Assumes the remaining quarters grow at the rate management guided</t>
  </si>
  <si>
    <t xml:space="preserve">Principal-weighted YTM on notes outstanding</t>
  </si>
  <si>
    <t xml:space="preserve">Debt schedule on the Quarterly sheet (10-K debt note + FINRA TRACE)</t>
  </si>
  <si>
    <t xml:space="preserve">Diluted shares outstanding (mm)</t>
  </si>
  <si>
    <t xml:space="preserve">Latest-quarter diluted weighted-average shares (10-Q)</t>
  </si>
  <si>
    <t xml:space="preserve">Pre-tax cost of debt used</t>
  </si>
  <si>
    <t xml:space="preserve">Falls back to FY0 interest expense ÷ total debt if no notes are listed</t>
  </si>
  <si>
    <t xml:space="preserve">Current share price ($)</t>
  </si>
  <si>
    <t xml:space="preserve">[Closing price on valuation date – source]</t>
  </si>
  <si>
    <t xml:space="preserve">  Cross-check: analyst consensus revenue</t>
  </si>
  <si>
    <t xml:space="preserve">[Company outlook – quote and cite]</t>
  </si>
  <si>
    <t xml:space="preserve">Revenue growth, FY+2E (first year after guidance)</t>
  </si>
  <si>
    <t xml:space="preserve">[Justify – analyst assumption / consensus]</t>
  </si>
  <si>
    <t xml:space="preserve">After-tax cost of debt</t>
  </si>
  <si>
    <t xml:space="preserve">Long-term Adj. EBITDA margin target (reached FY+5)</t>
  </si>
  <si>
    <t xml:space="preserve">Highest full-year Adj. EBITDA margin of the last 3 fiscal years – a level already proven, not a new high.</t>
  </si>
  <si>
    <t xml:space="preserve">Annual growth step-down after FY+2E</t>
  </si>
  <si>
    <t xml:space="preserve">[Justify – e.g. growth slows 1 pt per year]</t>
  </si>
  <si>
    <t xml:space="preserve">CAPITAL WEIGHT AND WACC</t>
  </si>
  <si>
    <t xml:space="preserve">FREE CASH FLOW PROJECTION ($ in millions)</t>
  </si>
  <si>
    <t xml:space="preserve">Equity value – market cap ($mm)</t>
  </si>
  <si>
    <t xml:space="preserve">Discount period (years)</t>
  </si>
  <si>
    <t xml:space="preserve">Debt ($mm)</t>
  </si>
  <si>
    <t xml:space="preserve">Revenue growth %</t>
  </si>
  <si>
    <t xml:space="preserve">[Revenue path: current-year guidance, then FY+2E growth stepping down each year – cite guidance]</t>
  </si>
  <si>
    <t xml:space="preserve">Equity weight</t>
  </si>
  <si>
    <t xml:space="preserve">Revenue</t>
  </si>
  <si>
    <t xml:space="preserve">Debt weight</t>
  </si>
  <si>
    <t xml:space="preserve">Adj. EBITDA margin %</t>
  </si>
  <si>
    <t xml:space="preserve">[Margin path: guidance floor rising evenly to the proven long-term level by FY+5 – explain why]</t>
  </si>
  <si>
    <t xml:space="preserve">Adj. EBITDA</t>
  </si>
  <si>
    <t xml:space="preserve">WACC</t>
  </si>
  <si>
    <t xml:space="preserve">D&amp;A held at the TTM % of revenue</t>
  </si>
  <si>
    <t xml:space="preserve">Equity contribution  (Equity weight x Cost of equity)</t>
  </si>
  <si>
    <t xml:space="preserve">Less: D&amp;A</t>
  </si>
  <si>
    <t xml:space="preserve">Debt contribution  (Debt weight x after-tax cost of debt)</t>
  </si>
  <si>
    <t xml:space="preserve">EBIT</t>
  </si>
  <si>
    <t xml:space="preserve">Less: taxes on EBIT</t>
  </si>
  <si>
    <t xml:space="preserve">Taxes on EBIT (EBITDA − D&amp;A) – keeps the D&amp;A tax shield; D&amp;A is added back once below</t>
  </si>
  <si>
    <t xml:space="preserve">Net Operating Profit After Tax</t>
  </si>
  <si>
    <t xml:space="preserve">Plus: D&amp;A</t>
  </si>
  <si>
    <t xml:space="preserve">3-year average capex % of revenue (Quarterly sheet)</t>
  </si>
  <si>
    <t xml:space="preserve">Less: capital expenditures</t>
  </si>
  <si>
    <t xml:space="preserve">2-year average NWC investment per $ of revenue growth (Quarterly sheet)</t>
  </si>
  <si>
    <t xml:space="preserve">Less: increase in net working capital</t>
  </si>
  <si>
    <t xml:space="preserve">Unlevered free cash flow (UFCF)</t>
  </si>
  <si>
    <t xml:space="preserve">Discount factor</t>
  </si>
  <si>
    <t xml:space="preserve">Formula: 1 ÷ (1 + discount rate) ^ years.  e.g. 0.826 means $1 received in year 2 is worth $0.826 today</t>
  </si>
  <si>
    <t xml:space="preserve">PV of UFCF</t>
  </si>
  <si>
    <t xml:space="preserve">VALUATION ($ in millions, except per share)</t>
  </si>
  <si>
    <t xml:space="preserve">Sum of PV of UFCF (FY+1 to FY+5)</t>
  </si>
  <si>
    <t xml:space="preserve">Terminal year UFCF (FY+5 x (1+g))</t>
  </si>
  <si>
    <t xml:space="preserve">Terminal value (Gordon growth)</t>
  </si>
  <si>
    <t xml:space="preserve">PV of terminal value</t>
  </si>
  <si>
    <t xml:space="preserve">Enterprise value</t>
  </si>
  <si>
    <t xml:space="preserve">Plus: net cash</t>
  </si>
  <si>
    <t xml:space="preserve">Equity value</t>
  </si>
  <si>
    <t xml:space="preserve">Diluted shares (mm)</t>
  </si>
  <si>
    <t xml:space="preserve">Implied share price ($)</t>
  </si>
  <si>
    <t xml:space="preserve">Upside / (downside)</t>
  </si>
  <si>
    <t xml:space="preserve">  Terminal value as % of enterprise value</t>
  </si>
  <si>
    <t xml:space="preserve">Company</t>
  </si>
  <si>
    <t xml:space="preserve">Fwd P/E</t>
  </si>
  <si>
    <t xml:space="preserve">Valuation data</t>
  </si>
  <si>
    <t xml:space="preserve">[Average forward P/E of named competitors – who and why]</t>
  </si>
  <si>
    <t xml:space="preserve">Avg. EPS Estimate</t>
  </si>
  <si>
    <t xml:space="preserve">[Consensus EPS source for FY+2]</t>
  </si>
  <si>
    <t xml:space="preserve">Enterprise Value</t>
  </si>
  <si>
    <t xml:space="preserve">FCF / Adj. EBITDA (conversion)</t>
  </si>
  <si>
    <t xml:space="preserve">Actual TTM (trailing twelve months) free cash flow ÷ Adj. EBITDA</t>
  </si>
  <si>
    <t xml:space="preserve">Free Cash Flow</t>
  </si>
  <si>
    <t xml:space="preserve">FY+2E Adj. EBITDA × TTM conversion</t>
  </si>
  <si>
    <t xml:space="preserve">Company's own current EV ÷ TTM FCF – assumes no multiple expansion</t>
  </si>
  <si>
    <t xml:space="preserve">Valuation summary (12-month target)</t>
  </si>
  <si>
    <t xml:space="preserve">Upside</t>
  </si>
  <si>
    <t xml:space="preserve">DCF</t>
  </si>
  <si>
    <t xml:space="preserve">P/E</t>
  </si>
  <si>
    <t xml:space="preserve">EV / FCF</t>
  </si>
  <si>
    <t xml:space="preserve">Blended value</t>
  </si>
  <si>
    <t xml:space="preserve">Price target (rounded to $5)</t>
  </si>
  <si>
    <t xml:space="preserve">Sensitivity Analysis</t>
  </si>
  <si>
    <t xml:space="preserve">Axes are centered on the base case in the DCF sheet and update automatically. Each cell recomputes the full DCF (no Data Table needed).</t>
  </si>
  <si>
    <t xml:space="preserve">IMPLIED SHARE PRICE ($)</t>
  </si>
  <si>
    <t xml:space="preserve">WACC (x) / Terminal Growth Rate (y)</t>
  </si>
  <si>
    <t xml:space="preserve">ENTERPRISE VALUE ($ in millions)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</si>
</sst>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0"/>
    <numFmt numFmtId="167" formatCode="#,##0;\(#,##0\);\-"/>
    <numFmt numFmtId="168" formatCode="#,##0.0;\(#,##0.0\);\-"/>
    <numFmt numFmtId="169" formatCode="0.0%;\(0.0%\);\-"/>
    <numFmt numFmtId="170" formatCode="0.00%;\(0.00%\);\-"/>
    <numFmt numFmtId="171" formatCode="0.00"/>
    <numFmt numFmtId="172" formatCode="\$#,##0;&quot;($&quot;#,##0\);\-"/>
    <numFmt numFmtId="173" formatCode="\$#,##0.00;&quot;($&quot;#,##0.00\);\-"/>
    <numFmt numFmtId="174" formatCode="0.000"/>
    <numFmt numFmtId="175" formatCode="0.0"/>
    <numFmt numFmtId="176" formatCode="\$#,##0.00"/>
    <numFmt numFmtId="177" formatCode="\$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8"/>
      <color rgb="FF00B05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B05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AD3"/>
      </patternFill>
    </fill>
    <fill>
      <patternFill patternType="solid">
        <fgColor rgb="FFD9EAD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red.stlouisfed.org/series/DGS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7" min="6" style="0" width="11"/>
    <col collapsed="false" customWidth="true" hidden="false" outlineLevel="0" max="8" min="8" style="0" width="2"/>
    <col collapsed="false" customWidth="true" hidden="false" outlineLevel="0" max="9" min="9" style="0" width="11"/>
    <col collapsed="false" customWidth="true" hidden="false" outlineLevel="0" max="10" min="10" style="0" width="2"/>
    <col collapsed="false" customWidth="true" hidden="false" outlineLevel="0" max="11" min="11" style="0" width="50"/>
    <col collapsed="false" customWidth="true" hidden="false" outlineLevel="0" max="12" min="12" style="0" width="44"/>
  </cols>
  <sheetData>
    <row r="1" customFormat="false" ht="15" hidden="false" customHeight="false" outlineLevel="0" collapsed="false">
      <c r="A1" s="1" t="str">
        <f aca="false">IF($B$3="","Company",$B$3)&amp;" – annual and year-to-date financials ($mm, except per share; shares in mm)"</f>
        <v>Company – annual and year-to-date financials ($mm, except per share; shares in mm)</v>
      </c>
    </row>
    <row r="2" customFormat="false" ht="15" hidden="false" customHeight="false" outlineLevel="0" collapsed="false">
      <c r="A2" s="2" t="s">
        <v>0</v>
      </c>
    </row>
    <row r="3" customFormat="false" ht="15" hidden="false" customHeight="false" outlineLevel="0" collapsed="false">
      <c r="A3" s="3" t="s">
        <v>1</v>
      </c>
      <c r="B3" s="4"/>
    </row>
    <row r="4" customFormat="false" ht="15" hidden="false" customHeight="false" outlineLevel="0" collapsed="false">
      <c r="A4" s="3" t="s">
        <v>2</v>
      </c>
      <c r="B4" s="4"/>
    </row>
    <row r="6" customFormat="false" ht="15" hidden="false" customHeight="false" outlineLevel="0" collapsed="false">
      <c r="A6" s="5" t="s">
        <v>3</v>
      </c>
      <c r="B6" s="6" t="str">
        <f aca="false">HYPERLINK($D$8,IF($D$7="","FY-2","FY"&amp;YEAR(B7)))</f>
        <v>FY-2</v>
      </c>
      <c r="C6" s="6" t="str">
        <f aca="false">HYPERLINK($D$8,IF($D$7="","FY-1","FY"&amp;YEAR(C7)))</f>
        <v>FY-1</v>
      </c>
      <c r="D6" s="6" t="str">
        <f aca="false">HYPERLINK($D$8,IF($D$7="","FY0","FY"&amp;YEAR(D7)))</f>
        <v>FY0</v>
      </c>
      <c r="E6" s="5"/>
      <c r="F6" s="6" t="str">
        <f aca="false">HYPERLINK($G$8,IF($G$7="","YTD prior yr","YTD Q"&amp;$G$9&amp;" FY"&amp;RIGHT(YEAR($D$7),2)))</f>
        <v>YTD prior yr</v>
      </c>
      <c r="G6" s="6" t="str">
        <f aca="false">HYPERLINK($G$8,IF($G$7="","YTD current","YTD Q"&amp;$G$9&amp;" FY"&amp;RIGHT(YEAR($D$7)+1,2)))</f>
        <v>YTD current</v>
      </c>
      <c r="H6" s="5"/>
      <c r="I6" s="6" t="str">
        <f aca="false">IF($G$7="","TTM","TTM "&amp;TEXT($G$7,"mmm-yy"))</f>
        <v>TTM</v>
      </c>
      <c r="J6" s="5"/>
      <c r="K6" s="5" t="s">
        <v>4</v>
      </c>
      <c r="L6" s="5" t="s">
        <v>5</v>
      </c>
    </row>
    <row r="7" customFormat="false" ht="15" hidden="false" customHeight="false" outlineLevel="0" collapsed="false">
      <c r="A7" s="3" t="s">
        <v>6</v>
      </c>
      <c r="B7" s="7" t="str">
        <f aca="false">IF($D$7="","",EDATE($D$7,-24))</f>
        <v/>
      </c>
      <c r="C7" s="7" t="str">
        <f aca="false">IF($D$7="","",EDATE($D$7,-12))</f>
        <v/>
      </c>
      <c r="D7" s="8"/>
      <c r="F7" s="7" t="str">
        <f aca="false">IF($G$7="","",EDATE($G$7,-12))</f>
        <v/>
      </c>
      <c r="G7" s="8"/>
      <c r="I7" s="7" t="n">
        <f aca="false">G7</f>
        <v>0</v>
      </c>
      <c r="K7" s="2" t="s">
        <v>7</v>
      </c>
    </row>
    <row r="8" customFormat="false" ht="15" hidden="false" customHeight="false" outlineLevel="0" collapsed="false">
      <c r="A8" s="3" t="s">
        <v>8</v>
      </c>
      <c r="B8" s="2" t="s">
        <v>9</v>
      </c>
      <c r="C8" s="2" t="s">
        <v>9</v>
      </c>
      <c r="D8" s="9"/>
      <c r="F8" s="2" t="s">
        <v>10</v>
      </c>
      <c r="G8" s="9"/>
      <c r="K8" s="2" t="s">
        <v>11</v>
      </c>
    </row>
    <row r="9" customFormat="false" ht="15" hidden="false" customHeight="false" outlineLevel="0" collapsed="false">
      <c r="A9" s="3" t="s">
        <v>12</v>
      </c>
      <c r="G9" s="10"/>
      <c r="K9" s="2" t="s">
        <v>13</v>
      </c>
    </row>
    <row r="10" customFormat="false" ht="15" hidden="false" customHeight="false" outlineLevel="0" collapsed="false">
      <c r="A10" s="5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5" hidden="false" customHeight="false" outlineLevel="0" collapsed="false">
      <c r="A11" s="3" t="s">
        <v>15</v>
      </c>
      <c r="B11" s="11"/>
      <c r="C11" s="11"/>
      <c r="D11" s="11"/>
      <c r="F11" s="11"/>
      <c r="G11" s="11"/>
      <c r="I11" s="12" t="n">
        <f aca="false">D11+G11-F11</f>
        <v>0</v>
      </c>
      <c r="K11" s="2" t="s">
        <v>16</v>
      </c>
    </row>
    <row r="12" customFormat="false" ht="15" hidden="false" customHeight="false" outlineLevel="0" collapsed="false">
      <c r="A12" s="3" t="s">
        <v>17</v>
      </c>
      <c r="B12" s="11"/>
      <c r="C12" s="11"/>
      <c r="D12" s="11"/>
      <c r="F12" s="11"/>
      <c r="G12" s="11"/>
      <c r="I12" s="12" t="n">
        <f aca="false">D12+G12-F12</f>
        <v>0</v>
      </c>
      <c r="K12" s="2" t="s">
        <v>18</v>
      </c>
    </row>
    <row r="13" customFormat="false" ht="15" hidden="false" customHeight="false" outlineLevel="0" collapsed="false">
      <c r="A13" s="13" t="s">
        <v>19</v>
      </c>
      <c r="B13" s="14" t="n">
        <f aca="false">B11-B12</f>
        <v>0</v>
      </c>
      <c r="C13" s="14" t="n">
        <f aca="false">C11-C12</f>
        <v>0</v>
      </c>
      <c r="D13" s="14" t="n">
        <f aca="false">D11-D12</f>
        <v>0</v>
      </c>
      <c r="F13" s="14" t="n">
        <f aca="false">F11-F12</f>
        <v>0</v>
      </c>
      <c r="G13" s="14" t="n">
        <f aca="false">G11-G12</f>
        <v>0</v>
      </c>
      <c r="I13" s="14" t="n">
        <f aca="false">D13+G13-F13</f>
        <v>0</v>
      </c>
    </row>
    <row r="14" customFormat="false" ht="15" hidden="false" customHeight="false" outlineLevel="0" collapsed="false">
      <c r="A14" s="3" t="s">
        <v>20</v>
      </c>
      <c r="B14" s="11"/>
      <c r="C14" s="11"/>
      <c r="D14" s="11"/>
      <c r="F14" s="11"/>
      <c r="G14" s="11"/>
      <c r="I14" s="12" t="n">
        <f aca="false">D14+G14-F14</f>
        <v>0</v>
      </c>
      <c r="K14" s="2" t="s">
        <v>21</v>
      </c>
    </row>
    <row r="15" customFormat="false" ht="15" hidden="false" customHeight="false" outlineLevel="0" collapsed="false">
      <c r="A15" s="3" t="s">
        <v>22</v>
      </c>
      <c r="B15" s="11"/>
      <c r="C15" s="11"/>
      <c r="D15" s="11"/>
      <c r="F15" s="11"/>
      <c r="G15" s="11"/>
      <c r="I15" s="12" t="n">
        <f aca="false">D15+G15-F15</f>
        <v>0</v>
      </c>
      <c r="K15" s="2" t="s">
        <v>23</v>
      </c>
    </row>
    <row r="16" customFormat="false" ht="15" hidden="false" customHeight="false" outlineLevel="0" collapsed="false">
      <c r="A16" s="3" t="s">
        <v>24</v>
      </c>
      <c r="B16" s="11"/>
      <c r="C16" s="11"/>
      <c r="D16" s="11"/>
      <c r="F16" s="11"/>
      <c r="G16" s="11"/>
      <c r="I16" s="12" t="n">
        <f aca="false">D16+G16-F16</f>
        <v>0</v>
      </c>
      <c r="K16" s="2" t="s">
        <v>25</v>
      </c>
    </row>
    <row r="17" customFormat="false" ht="15" hidden="false" customHeight="false" outlineLevel="0" collapsed="false">
      <c r="A17" s="3" t="s">
        <v>26</v>
      </c>
      <c r="B17" s="12" t="n">
        <f aca="false">B12+B14+B15+B16</f>
        <v>0</v>
      </c>
      <c r="C17" s="12" t="n">
        <f aca="false">C12+C14+C15+C16</f>
        <v>0</v>
      </c>
      <c r="D17" s="12" t="n">
        <f aca="false">D12+D14+D15+D16</f>
        <v>0</v>
      </c>
      <c r="F17" s="12" t="n">
        <f aca="false">F12+F14+F15+F16</f>
        <v>0</v>
      </c>
      <c r="G17" s="12" t="n">
        <f aca="false">G12+G14+G15+G16</f>
        <v>0</v>
      </c>
      <c r="I17" s="12" t="n">
        <f aca="false">D17+G17-F17</f>
        <v>0</v>
      </c>
    </row>
    <row r="18" customFormat="false" ht="15" hidden="false" customHeight="false" outlineLevel="0" collapsed="false">
      <c r="A18" s="13" t="s">
        <v>27</v>
      </c>
      <c r="B18" s="14" t="n">
        <f aca="false">B11-B17</f>
        <v>0</v>
      </c>
      <c r="C18" s="14" t="n">
        <f aca="false">C11-C17</f>
        <v>0</v>
      </c>
      <c r="D18" s="14" t="n">
        <f aca="false">D11-D17</f>
        <v>0</v>
      </c>
      <c r="F18" s="14" t="n">
        <f aca="false">F11-F17</f>
        <v>0</v>
      </c>
      <c r="G18" s="14" t="n">
        <f aca="false">G11-G17</f>
        <v>0</v>
      </c>
      <c r="I18" s="14" t="n">
        <f aca="false">D18+G18-F18</f>
        <v>0</v>
      </c>
    </row>
    <row r="19" customFormat="false" ht="15" hidden="false" customHeight="false" outlineLevel="0" collapsed="false">
      <c r="A19" s="3" t="s">
        <v>28</v>
      </c>
      <c r="B19" s="11"/>
      <c r="C19" s="11"/>
      <c r="D19" s="11"/>
      <c r="F19" s="11"/>
      <c r="G19" s="11"/>
      <c r="I19" s="12" t="n">
        <f aca="false">D19+G19-F19</f>
        <v>0</v>
      </c>
      <c r="K19" s="2" t="s">
        <v>29</v>
      </c>
    </row>
    <row r="20" customFormat="false" ht="15" hidden="false" customHeight="false" outlineLevel="0" collapsed="false">
      <c r="A20" s="3" t="s">
        <v>30</v>
      </c>
      <c r="B20" s="12" t="str">
        <f aca="false">IF(B19="","",B18-B19)</f>
        <v/>
      </c>
      <c r="C20" s="12" t="str">
        <f aca="false">IF(C19="","",C18-C19)</f>
        <v/>
      </c>
      <c r="D20" s="12" t="str">
        <f aca="false">IF(D19="","",D18-D19)</f>
        <v/>
      </c>
      <c r="F20" s="12" t="str">
        <f aca="false">IF(F19="","",F18-F19)</f>
        <v/>
      </c>
      <c r="G20" s="12" t="str">
        <f aca="false">IF(G19="","",G18-G19)</f>
        <v/>
      </c>
    </row>
    <row r="21" customFormat="false" ht="15" hidden="false" customHeight="false" outlineLevel="0" collapsed="false">
      <c r="A21" s="3" t="s">
        <v>31</v>
      </c>
      <c r="B21" s="11"/>
      <c r="C21" s="11"/>
      <c r="D21" s="11"/>
      <c r="F21" s="11"/>
      <c r="G21" s="11"/>
      <c r="I21" s="12" t="n">
        <f aca="false">D21+G21-F21</f>
        <v>0</v>
      </c>
      <c r="K21" s="2" t="s">
        <v>32</v>
      </c>
    </row>
    <row r="22" customFormat="false" ht="15" hidden="false" customHeight="false" outlineLevel="0" collapsed="false">
      <c r="A22" s="3" t="s">
        <v>33</v>
      </c>
      <c r="B22" s="11"/>
      <c r="C22" s="11"/>
      <c r="D22" s="11"/>
      <c r="F22" s="11"/>
      <c r="G22" s="11"/>
      <c r="I22" s="12" t="n">
        <f aca="false">D22+G22-F22</f>
        <v>0</v>
      </c>
      <c r="K22" s="2" t="s">
        <v>34</v>
      </c>
    </row>
    <row r="23" customFormat="false" ht="15" hidden="false" customHeight="false" outlineLevel="0" collapsed="false">
      <c r="A23" s="13" t="s">
        <v>35</v>
      </c>
      <c r="B23" s="14" t="n">
        <f aca="false">B18-B21+B22</f>
        <v>0</v>
      </c>
      <c r="C23" s="14" t="n">
        <f aca="false">C18-C21+C22</f>
        <v>0</v>
      </c>
      <c r="D23" s="14" t="n">
        <f aca="false">D18-D21+D22</f>
        <v>0</v>
      </c>
      <c r="F23" s="14" t="n">
        <f aca="false">F18-F21+F22</f>
        <v>0</v>
      </c>
      <c r="G23" s="14" t="n">
        <f aca="false">G18-G21+G22</f>
        <v>0</v>
      </c>
      <c r="I23" s="14" t="n">
        <f aca="false">D23+G23-F23</f>
        <v>0</v>
      </c>
    </row>
    <row r="24" customFormat="false" ht="15" hidden="false" customHeight="false" outlineLevel="0" collapsed="false">
      <c r="A24" s="3" t="s">
        <v>36</v>
      </c>
      <c r="B24" s="11"/>
      <c r="C24" s="11"/>
      <c r="D24" s="11"/>
      <c r="F24" s="11"/>
      <c r="G24" s="11"/>
      <c r="I24" s="12" t="n">
        <f aca="false">D24+G24-F24</f>
        <v>0</v>
      </c>
      <c r="K24" s="2" t="s">
        <v>37</v>
      </c>
    </row>
    <row r="25" customFormat="false" ht="15" hidden="false" customHeight="false" outlineLevel="0" collapsed="false">
      <c r="A25" s="13" t="s">
        <v>38</v>
      </c>
      <c r="B25" s="14" t="n">
        <f aca="false">B23-B24</f>
        <v>0</v>
      </c>
      <c r="C25" s="14" t="n">
        <f aca="false">C23-C24</f>
        <v>0</v>
      </c>
      <c r="D25" s="14" t="n">
        <f aca="false">D23-D24</f>
        <v>0</v>
      </c>
      <c r="F25" s="14" t="n">
        <f aca="false">F23-F24</f>
        <v>0</v>
      </c>
      <c r="G25" s="14" t="n">
        <f aca="false">G23-G24</f>
        <v>0</v>
      </c>
      <c r="I25" s="14" t="n">
        <f aca="false">D25+G25-F25</f>
        <v>0</v>
      </c>
    </row>
    <row r="26" customFormat="false" ht="15" hidden="false" customHeight="false" outlineLevel="0" collapsed="false">
      <c r="A26" s="3" t="s">
        <v>39</v>
      </c>
      <c r="B26" s="11"/>
      <c r="C26" s="11"/>
      <c r="D26" s="11"/>
      <c r="F26" s="11"/>
      <c r="G26" s="11"/>
      <c r="I26" s="12" t="n">
        <f aca="false">D26+G26-F26</f>
        <v>0</v>
      </c>
      <c r="K26" s="2" t="s">
        <v>40</v>
      </c>
    </row>
    <row r="27" customFormat="false" ht="15" hidden="false" customHeight="false" outlineLevel="0" collapsed="false">
      <c r="A27" s="3" t="s">
        <v>30</v>
      </c>
      <c r="B27" s="12" t="str">
        <f aca="false">IF(B26="","",B25-B26)</f>
        <v/>
      </c>
      <c r="C27" s="12" t="str">
        <f aca="false">IF(C26="","",C25-C26)</f>
        <v/>
      </c>
      <c r="D27" s="12" t="str">
        <f aca="false">IF(D26="","",D25-D26)</f>
        <v/>
      </c>
      <c r="F27" s="12" t="str">
        <f aca="false">IF(F26="","",F25-F26)</f>
        <v/>
      </c>
      <c r="G27" s="12" t="str">
        <f aca="false">IF(G26="","",G25-G26)</f>
        <v/>
      </c>
    </row>
    <row r="29" customFormat="false" ht="15" hidden="false" customHeight="false" outlineLevel="0" collapsed="false">
      <c r="A29" s="5" t="s">
        <v>41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5" hidden="false" customHeight="false" outlineLevel="0" collapsed="false">
      <c r="A30" s="3" t="s">
        <v>27</v>
      </c>
      <c r="B30" s="12" t="n">
        <f aca="false">B18</f>
        <v>0</v>
      </c>
      <c r="C30" s="12" t="n">
        <f aca="false">C18</f>
        <v>0</v>
      </c>
      <c r="D30" s="12" t="n">
        <f aca="false">D18</f>
        <v>0</v>
      </c>
      <c r="F30" s="12" t="n">
        <f aca="false">F18</f>
        <v>0</v>
      </c>
      <c r="G30" s="12" t="n">
        <f aca="false">G18</f>
        <v>0</v>
      </c>
      <c r="I30" s="12" t="n">
        <f aca="false">D30+G30-F30</f>
        <v>0</v>
      </c>
    </row>
    <row r="31" customFormat="false" ht="15" hidden="false" customHeight="false" outlineLevel="0" collapsed="false">
      <c r="A31" s="3" t="s">
        <v>42</v>
      </c>
      <c r="B31" s="11"/>
      <c r="C31" s="11"/>
      <c r="D31" s="11"/>
      <c r="F31" s="11"/>
      <c r="G31" s="11"/>
      <c r="I31" s="12" t="n">
        <f aca="false">D31+G31-F31</f>
        <v>0</v>
      </c>
      <c r="K31" s="2" t="s">
        <v>43</v>
      </c>
    </row>
    <row r="32" customFormat="false" ht="15" hidden="false" customHeight="false" outlineLevel="0" collapsed="false">
      <c r="A32" s="3" t="s">
        <v>44</v>
      </c>
      <c r="B32" s="11"/>
      <c r="C32" s="11"/>
      <c r="D32" s="11"/>
      <c r="F32" s="11"/>
      <c r="G32" s="11"/>
      <c r="I32" s="12" t="n">
        <f aca="false">D32+G32-F32</f>
        <v>0</v>
      </c>
      <c r="K32" s="2" t="s">
        <v>45</v>
      </c>
    </row>
    <row r="33" customFormat="false" ht="15" hidden="false" customHeight="false" outlineLevel="0" collapsed="false">
      <c r="A33" s="3" t="s">
        <v>46</v>
      </c>
      <c r="B33" s="11"/>
      <c r="C33" s="11"/>
      <c r="D33" s="11"/>
      <c r="F33" s="11"/>
      <c r="G33" s="11"/>
      <c r="I33" s="12" t="n">
        <f aca="false">D33+G33-F33</f>
        <v>0</v>
      </c>
      <c r="K33" s="2" t="s">
        <v>47</v>
      </c>
    </row>
    <row r="34" customFormat="false" ht="15" hidden="false" customHeight="false" outlineLevel="0" collapsed="false">
      <c r="A34" s="13" t="s">
        <v>48</v>
      </c>
      <c r="B34" s="14" t="n">
        <f aca="false">SUM(B30:B33)</f>
        <v>0</v>
      </c>
      <c r="C34" s="14" t="n">
        <f aca="false">SUM(C30:C33)</f>
        <v>0</v>
      </c>
      <c r="D34" s="14" t="n">
        <f aca="false">SUM(D30:D33)</f>
        <v>0</v>
      </c>
      <c r="F34" s="14" t="n">
        <f aca="false">SUM(F30:F33)</f>
        <v>0</v>
      </c>
      <c r="G34" s="14" t="n">
        <f aca="false">SUM(G30:G33)</f>
        <v>0</v>
      </c>
      <c r="I34" s="14" t="n">
        <f aca="false">D34+G34-F34</f>
        <v>0</v>
      </c>
    </row>
    <row r="35" customFormat="false" ht="15" hidden="false" customHeight="false" outlineLevel="0" collapsed="false">
      <c r="A35" s="3" t="s">
        <v>49</v>
      </c>
      <c r="B35" s="11"/>
      <c r="C35" s="11"/>
      <c r="D35" s="11"/>
      <c r="F35" s="11"/>
      <c r="G35" s="11"/>
      <c r="I35" s="12" t="n">
        <f aca="false">D35+G35-F35</f>
        <v>0</v>
      </c>
      <c r="K35" s="2" t="s">
        <v>50</v>
      </c>
    </row>
    <row r="36" customFormat="false" ht="15" hidden="false" customHeight="false" outlineLevel="0" collapsed="false">
      <c r="A36" s="3" t="s">
        <v>30</v>
      </c>
      <c r="B36" s="12" t="str">
        <f aca="false">IF(B35="","",B34-B35)</f>
        <v/>
      </c>
      <c r="C36" s="12" t="str">
        <f aca="false">IF(C35="","",C34-C35)</f>
        <v/>
      </c>
      <c r="D36" s="12" t="str">
        <f aca="false">IF(D35="","",D34-D35)</f>
        <v/>
      </c>
      <c r="F36" s="12" t="str">
        <f aca="false">IF(F35="","",F34-F35)</f>
        <v/>
      </c>
      <c r="G36" s="12" t="str">
        <f aca="false">IF(G35="","",G34-G35)</f>
        <v/>
      </c>
    </row>
    <row r="38" customFormat="false" ht="15" hidden="false" customHeight="false" outlineLevel="0" collapsed="false">
      <c r="A38" s="5" t="s">
        <v>51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3" t="s">
        <v>52</v>
      </c>
      <c r="B39" s="11"/>
      <c r="C39" s="11"/>
      <c r="D39" s="11"/>
      <c r="F39" s="11"/>
      <c r="G39" s="11"/>
      <c r="I39" s="12" t="n">
        <f aca="false">D39+G39-F39</f>
        <v>0</v>
      </c>
      <c r="K39" s="2" t="s">
        <v>53</v>
      </c>
    </row>
    <row r="40" customFormat="false" ht="15" hidden="false" customHeight="false" outlineLevel="0" collapsed="false">
      <c r="A40" s="3" t="s">
        <v>54</v>
      </c>
      <c r="B40" s="11"/>
      <c r="C40" s="11"/>
      <c r="D40" s="11"/>
      <c r="F40" s="11"/>
      <c r="G40" s="11"/>
      <c r="I40" s="12" t="n">
        <f aca="false">D40+G40-F40</f>
        <v>0</v>
      </c>
      <c r="K40" s="2" t="s">
        <v>55</v>
      </c>
    </row>
    <row r="41" customFormat="false" ht="15" hidden="false" customHeight="false" outlineLevel="0" collapsed="false">
      <c r="A41" s="13" t="s">
        <v>56</v>
      </c>
      <c r="B41" s="14" t="n">
        <f aca="false">B39+B40</f>
        <v>0</v>
      </c>
      <c r="C41" s="14" t="n">
        <f aca="false">C39+C40</f>
        <v>0</v>
      </c>
      <c r="D41" s="14" t="n">
        <f aca="false">D39+D40</f>
        <v>0</v>
      </c>
      <c r="F41" s="14" t="n">
        <f aca="false">F39+F40</f>
        <v>0</v>
      </c>
      <c r="G41" s="14" t="n">
        <f aca="false">G39+G40</f>
        <v>0</v>
      </c>
      <c r="I41" s="14" t="n">
        <f aca="false">D41+G41-F41</f>
        <v>0</v>
      </c>
    </row>
    <row r="42" customFormat="false" ht="15" hidden="false" customHeight="false" outlineLevel="0" collapsed="false">
      <c r="A42" s="3" t="s">
        <v>57</v>
      </c>
      <c r="B42" s="11"/>
      <c r="C42" s="11"/>
      <c r="D42" s="11"/>
      <c r="K42" s="2" t="s">
        <v>58</v>
      </c>
    </row>
    <row r="44" customFormat="false" ht="15" hidden="false" customHeight="false" outlineLevel="0" collapsed="false">
      <c r="A44" s="5" t="s">
        <v>59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5" hidden="false" customHeight="false" outlineLevel="0" collapsed="false">
      <c r="A45" s="3" t="s">
        <v>60</v>
      </c>
      <c r="G45" s="11"/>
      <c r="K45" s="2" t="s">
        <v>61</v>
      </c>
    </row>
    <row r="46" customFormat="false" ht="15" hidden="false" customHeight="false" outlineLevel="0" collapsed="false">
      <c r="A46" s="3" t="s">
        <v>62</v>
      </c>
      <c r="G46" s="11"/>
      <c r="K46" s="2" t="s">
        <v>61</v>
      </c>
    </row>
    <row r="47" customFormat="false" ht="15" hidden="false" customHeight="false" outlineLevel="0" collapsed="false">
      <c r="A47" s="3" t="s">
        <v>63</v>
      </c>
      <c r="G47" s="11"/>
      <c r="K47" s="2" t="s">
        <v>64</v>
      </c>
    </row>
    <row r="48" customFormat="false" ht="15" hidden="false" customHeight="false" outlineLevel="0" collapsed="false">
      <c r="A48" s="3" t="s">
        <v>65</v>
      </c>
      <c r="G48" s="11"/>
      <c r="K48" s="2" t="s">
        <v>66</v>
      </c>
    </row>
    <row r="49" customFormat="false" ht="15" hidden="false" customHeight="false" outlineLevel="0" collapsed="false">
      <c r="A49" s="13" t="s">
        <v>67</v>
      </c>
      <c r="G49" s="14" t="n">
        <f aca="false">G47+G48</f>
        <v>0</v>
      </c>
    </row>
    <row r="50" customFormat="false" ht="15" hidden="false" customHeight="false" outlineLevel="0" collapsed="false">
      <c r="A50" s="13" t="s">
        <v>68</v>
      </c>
      <c r="G50" s="14" t="n">
        <f aca="false">G45+G46</f>
        <v>0</v>
      </c>
    </row>
    <row r="51" customFormat="false" ht="15" hidden="false" customHeight="false" outlineLevel="0" collapsed="false">
      <c r="A51" s="3" t="s">
        <v>69</v>
      </c>
      <c r="G51" s="15"/>
      <c r="K51" s="2" t="s">
        <v>70</v>
      </c>
    </row>
    <row r="53" customFormat="false" ht="15" hidden="false" customHeight="false" outlineLevel="0" collapsed="false">
      <c r="A53" s="5" t="s">
        <v>71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false" outlineLevel="0" collapsed="false">
      <c r="A54" s="3" t="s">
        <v>72</v>
      </c>
      <c r="G54" s="11"/>
      <c r="K54" s="2" t="s">
        <v>73</v>
      </c>
    </row>
    <row r="56" customFormat="false" ht="15" hidden="false" customHeight="false" outlineLevel="0" collapsed="false">
      <c r="A56" s="5" t="s">
        <v>74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15" hidden="false" customHeight="false" outlineLevel="0" collapsed="false">
      <c r="A57" s="3" t="s">
        <v>75</v>
      </c>
      <c r="C57" s="16" t="n">
        <f aca="false">IF(B11=0,0,C11/B11-1)</f>
        <v>0</v>
      </c>
      <c r="D57" s="16" t="n">
        <f aca="false">IF(C11=0,0,D11/C11-1)</f>
        <v>0</v>
      </c>
      <c r="G57" s="16" t="n">
        <f aca="false">IF(F11=0,0,G11/F11-1)</f>
        <v>0</v>
      </c>
    </row>
    <row r="58" customFormat="false" ht="15" hidden="false" customHeight="false" outlineLevel="0" collapsed="false">
      <c r="A58" s="3" t="s">
        <v>76</v>
      </c>
      <c r="B58" s="16" t="n">
        <f aca="false">IF(B11=0,0,B13/B11)</f>
        <v>0</v>
      </c>
      <c r="C58" s="16" t="n">
        <f aca="false">IF(C11=0,0,C13/C11)</f>
        <v>0</v>
      </c>
      <c r="D58" s="16" t="n">
        <f aca="false">IF(D11=0,0,D13/D11)</f>
        <v>0</v>
      </c>
      <c r="F58" s="16" t="n">
        <f aca="false">IF(F11=0,0,F13/F11)</f>
        <v>0</v>
      </c>
      <c r="G58" s="16" t="n">
        <f aca="false">IF(G11=0,0,G13/G11)</f>
        <v>0</v>
      </c>
      <c r="I58" s="16" t="n">
        <f aca="false">IF(I11=0,0,I13/I11)</f>
        <v>0</v>
      </c>
    </row>
    <row r="59" customFormat="false" ht="15" hidden="false" customHeight="false" outlineLevel="0" collapsed="false">
      <c r="A59" s="3" t="s">
        <v>77</v>
      </c>
      <c r="B59" s="16" t="n">
        <f aca="false">IF(B11=0,0,B18/B11)</f>
        <v>0</v>
      </c>
      <c r="C59" s="16" t="n">
        <f aca="false">IF(C11=0,0,C18/C11)</f>
        <v>0</v>
      </c>
      <c r="D59" s="16" t="n">
        <f aca="false">IF(D11=0,0,D18/D11)</f>
        <v>0</v>
      </c>
      <c r="F59" s="16" t="n">
        <f aca="false">IF(F11=0,0,F18/F11)</f>
        <v>0</v>
      </c>
      <c r="G59" s="16" t="n">
        <f aca="false">IF(G11=0,0,G18/G11)</f>
        <v>0</v>
      </c>
      <c r="I59" s="16" t="n">
        <f aca="false">IF(I11=0,0,I18/I11)</f>
        <v>0</v>
      </c>
    </row>
    <row r="60" customFormat="false" ht="15" hidden="false" customHeight="false" outlineLevel="0" collapsed="false">
      <c r="A60" s="3" t="s">
        <v>78</v>
      </c>
      <c r="B60" s="16" t="n">
        <f aca="false">IF(B11=0,0,B34/B11)</f>
        <v>0</v>
      </c>
      <c r="C60" s="16" t="n">
        <f aca="false">IF(C11=0,0,C34/C11)</f>
        <v>0</v>
      </c>
      <c r="D60" s="16" t="n">
        <f aca="false">IF(D11=0,0,D34/D11)</f>
        <v>0</v>
      </c>
      <c r="F60" s="16" t="n">
        <f aca="false">IF(F11=0,0,F34/F11)</f>
        <v>0</v>
      </c>
      <c r="G60" s="16" t="n">
        <f aca="false">IF(G11=0,0,G34/G11)</f>
        <v>0</v>
      </c>
      <c r="I60" s="16" t="n">
        <f aca="false">IF(I11=0,0,I34/I11)</f>
        <v>0</v>
      </c>
    </row>
    <row r="61" customFormat="false" ht="15" hidden="false" customHeight="false" outlineLevel="0" collapsed="false">
      <c r="A61" s="3" t="s">
        <v>79</v>
      </c>
      <c r="B61" s="16" t="n">
        <f aca="false">IF(B11=0,0,B25/B11)</f>
        <v>0</v>
      </c>
      <c r="C61" s="16" t="n">
        <f aca="false">IF(C11=0,0,C25/C11)</f>
        <v>0</v>
      </c>
      <c r="D61" s="16" t="n">
        <f aca="false">IF(D11=0,0,D25/D11)</f>
        <v>0</v>
      </c>
      <c r="F61" s="16" t="n">
        <f aca="false">IF(F11=0,0,F25/F11)</f>
        <v>0</v>
      </c>
      <c r="G61" s="16" t="n">
        <f aca="false">IF(G11=0,0,G25/G11)</f>
        <v>0</v>
      </c>
      <c r="I61" s="16" t="n">
        <f aca="false">IF(I11=0,0,I25/I11)</f>
        <v>0</v>
      </c>
    </row>
    <row r="62" customFormat="false" ht="15" hidden="false" customHeight="false" outlineLevel="0" collapsed="false">
      <c r="A62" s="3" t="s">
        <v>80</v>
      </c>
      <c r="B62" s="16" t="n">
        <f aca="false">IF(B11=0,0,B41/B11)</f>
        <v>0</v>
      </c>
      <c r="C62" s="16" t="n">
        <f aca="false">IF(C11=0,0,C41/C11)</f>
        <v>0</v>
      </c>
      <c r="D62" s="16" t="n">
        <f aca="false">IF(D11=0,0,D41/D11)</f>
        <v>0</v>
      </c>
      <c r="F62" s="16" t="n">
        <f aca="false">IF(F11=0,0,F41/F11)</f>
        <v>0</v>
      </c>
      <c r="G62" s="16" t="n">
        <f aca="false">IF(G11=0,0,G41/G11)</f>
        <v>0</v>
      </c>
      <c r="I62" s="16" t="n">
        <f aca="false">IF(I11=0,0,I41/I11)</f>
        <v>0</v>
      </c>
    </row>
    <row r="63" customFormat="false" ht="15" hidden="false" customHeight="false" outlineLevel="0" collapsed="false">
      <c r="A63" s="3" t="s">
        <v>81</v>
      </c>
      <c r="B63" s="16" t="n">
        <f aca="false">IF(B34=0,0,B41/B34)</f>
        <v>0</v>
      </c>
      <c r="C63" s="16" t="n">
        <f aca="false">IF(C34=0,0,C41/C34)</f>
        <v>0</v>
      </c>
      <c r="D63" s="16" t="n">
        <f aca="false">IF(D34=0,0,D41/D34)</f>
        <v>0</v>
      </c>
      <c r="F63" s="16" t="n">
        <f aca="false">IF(F34=0,0,F41/F34)</f>
        <v>0</v>
      </c>
      <c r="G63" s="16" t="n">
        <f aca="false">IF(G34=0,0,G41/G34)</f>
        <v>0</v>
      </c>
      <c r="I63" s="16" t="n">
        <f aca="false">IF(I34=0,0,I41/I34)</f>
        <v>0</v>
      </c>
    </row>
    <row r="64" customFormat="false" ht="15" hidden="false" customHeight="false" outlineLevel="0" collapsed="false">
      <c r="A64" s="3" t="s">
        <v>82</v>
      </c>
      <c r="B64" s="16" t="n">
        <f aca="false">IF(B11=0,0,B32/B11)</f>
        <v>0</v>
      </c>
      <c r="C64" s="16" t="n">
        <f aca="false">IF(C11=0,0,C32/C11)</f>
        <v>0</v>
      </c>
      <c r="D64" s="16" t="n">
        <f aca="false">IF(D11=0,0,D32/D11)</f>
        <v>0</v>
      </c>
      <c r="F64" s="16" t="n">
        <f aca="false">IF(F11=0,0,F32/F11)</f>
        <v>0</v>
      </c>
      <c r="G64" s="16" t="n">
        <f aca="false">IF(G11=0,0,G32/G11)</f>
        <v>0</v>
      </c>
      <c r="I64" s="16" t="n">
        <f aca="false">IF(I11=0,0,I32/I11)</f>
        <v>0</v>
      </c>
    </row>
    <row r="65" customFormat="false" ht="15" hidden="false" customHeight="false" outlineLevel="0" collapsed="false">
      <c r="A65" s="3" t="s">
        <v>83</v>
      </c>
      <c r="B65" s="16" t="n">
        <f aca="false">IF(B11=0,0,B31/B11)</f>
        <v>0</v>
      </c>
      <c r="C65" s="16" t="n">
        <f aca="false">IF(C11=0,0,C31/C11)</f>
        <v>0</v>
      </c>
      <c r="D65" s="16" t="n">
        <f aca="false">IF(D11=0,0,D31/D11)</f>
        <v>0</v>
      </c>
      <c r="F65" s="16" t="n">
        <f aca="false">IF(F11=0,0,F31/F11)</f>
        <v>0</v>
      </c>
      <c r="G65" s="16" t="n">
        <f aca="false">IF(G11=0,0,G31/G11)</f>
        <v>0</v>
      </c>
      <c r="I65" s="16" t="n">
        <f aca="false">IF(I11=0,0,I31/I11)</f>
        <v>0</v>
      </c>
    </row>
    <row r="66" customFormat="false" ht="15" hidden="false" customHeight="false" outlineLevel="0" collapsed="false">
      <c r="A66" s="3" t="s">
        <v>84</v>
      </c>
      <c r="B66" s="16" t="n">
        <f aca="false">IF(B11=0,0,-B40/B11)</f>
        <v>0</v>
      </c>
      <c r="C66" s="16" t="n">
        <f aca="false">IF(C11=0,0,-C40/C11)</f>
        <v>0</v>
      </c>
      <c r="D66" s="16" t="n">
        <f aca="false">IF(D11=0,0,-D40/D11)</f>
        <v>0</v>
      </c>
      <c r="F66" s="16" t="n">
        <f aca="false">IF(F11=0,0,-F40/F11)</f>
        <v>0</v>
      </c>
      <c r="G66" s="16" t="n">
        <f aca="false">IF(G11=0,0,-G40/G11)</f>
        <v>0</v>
      </c>
      <c r="I66" s="16" t="n">
        <f aca="false">IF(I11=0,0,-I40/I11)</f>
        <v>0</v>
      </c>
    </row>
    <row r="67" customFormat="false" ht="15" hidden="false" customHeight="false" outlineLevel="0" collapsed="false">
      <c r="A67" s="3" t="s">
        <v>85</v>
      </c>
      <c r="B67" s="16" t="n">
        <f aca="false">IF(B23=0,0,B24/B23)</f>
        <v>0</v>
      </c>
      <c r="C67" s="16" t="n">
        <f aca="false">IF(C23=0,0,C24/C23)</f>
        <v>0</v>
      </c>
      <c r="D67" s="16" t="n">
        <f aca="false">IF(D23=0,0,D24/D23)</f>
        <v>0</v>
      </c>
      <c r="F67" s="16" t="n">
        <f aca="false">IF(F23=0,0,F24/F23)</f>
        <v>0</v>
      </c>
      <c r="G67" s="16" t="n">
        <f aca="false">IF(G23=0,0,G24/G23)</f>
        <v>0</v>
      </c>
      <c r="I67" s="16" t="n">
        <f aca="false">IF(I23=0,0,I24/I23)</f>
        <v>0</v>
      </c>
    </row>
    <row r="68" customFormat="false" ht="15" hidden="false" customHeight="false" outlineLevel="0" collapsed="false">
      <c r="A68" s="3" t="s">
        <v>86</v>
      </c>
      <c r="C68" s="16" t="n">
        <f aca="false">IF(C11-B11=0,0,-C42/(C11-B11))</f>
        <v>0</v>
      </c>
      <c r="D68" s="16" t="n">
        <f aca="false">IF(D11-C11=0,0,-D42/(D11-C11))</f>
        <v>0</v>
      </c>
    </row>
    <row r="70" customFormat="false" ht="15" hidden="false" customHeight="false" outlineLevel="0" collapsed="false">
      <c r="A70" s="5" t="s">
        <v>87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5" hidden="false" customHeight="false" outlineLevel="0" collapsed="false">
      <c r="A71" s="3" t="s">
        <v>88</v>
      </c>
      <c r="D71" s="16" t="n">
        <f aca="false">AVERAGE(B66:D66)</f>
        <v>0</v>
      </c>
      <c r="K71" s="2" t="s">
        <v>89</v>
      </c>
    </row>
    <row r="72" customFormat="false" ht="15" hidden="false" customHeight="false" outlineLevel="0" collapsed="false">
      <c r="A72" s="3" t="s">
        <v>90</v>
      </c>
      <c r="D72" s="16" t="n">
        <f aca="false">AVERAGE(C68:D68)</f>
        <v>0</v>
      </c>
      <c r="K72" s="2" t="s">
        <v>91</v>
      </c>
    </row>
    <row r="73" customFormat="false" ht="15" hidden="false" customHeight="false" outlineLevel="0" collapsed="false">
      <c r="A73" s="3" t="s">
        <v>92</v>
      </c>
      <c r="D73" s="16" t="n">
        <f aca="false">MAX(B60:D60)</f>
        <v>0</v>
      </c>
      <c r="K73" s="2" t="s">
        <v>93</v>
      </c>
    </row>
    <row r="75" customFormat="false" ht="15" hidden="false" customHeight="false" outlineLevel="0" collapsed="false">
      <c r="A75" s="5" t="s">
        <v>94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5" hidden="false" customHeight="false" outlineLevel="0" collapsed="false">
      <c r="A76" s="17" t="s">
        <v>95</v>
      </c>
      <c r="B76" s="17" t="s">
        <v>96</v>
      </c>
      <c r="C76" s="17" t="s">
        <v>97</v>
      </c>
      <c r="D76" s="17" t="s">
        <v>98</v>
      </c>
      <c r="E76" s="18"/>
      <c r="F76" s="17" t="s">
        <v>99</v>
      </c>
      <c r="G76" s="17" t="s">
        <v>100</v>
      </c>
      <c r="H76" s="18"/>
      <c r="I76" s="17" t="s">
        <v>101</v>
      </c>
      <c r="J76" s="18"/>
      <c r="K76" s="17" t="s">
        <v>102</v>
      </c>
      <c r="L76" s="17" t="s">
        <v>5</v>
      </c>
    </row>
    <row r="77" customFormat="false" ht="15" hidden="false" customHeight="false" outlineLevel="0" collapsed="false">
      <c r="A77" s="4"/>
      <c r="B77" s="11"/>
      <c r="C77" s="19"/>
      <c r="D77" s="8"/>
      <c r="F77" s="20"/>
      <c r="G77" s="21" t="str">
        <f aca="false">IF(B77="","",IF(F77="",C77,IFERROR(YIELD(DCF!$P$2,D77,C77,F77,100,2,0),C77)))</f>
        <v/>
      </c>
      <c r="I77" s="16" t="str">
        <f aca="false">IF(OR(B77="",$B$85=0),"",B77/$B$85)</f>
        <v/>
      </c>
      <c r="K77" s="2" t="s">
        <v>103</v>
      </c>
    </row>
    <row r="78" customFormat="false" ht="15" hidden="false" customHeight="false" outlineLevel="0" collapsed="false">
      <c r="A78" s="4"/>
      <c r="B78" s="11"/>
      <c r="C78" s="19"/>
      <c r="D78" s="8"/>
      <c r="F78" s="20"/>
      <c r="G78" s="21" t="str">
        <f aca="false">IF(B78="","",IF(F78="",C78,IFERROR(YIELD(DCF!$P$2,D78,C78,F78,100,2,0),C78)))</f>
        <v/>
      </c>
      <c r="I78" s="16" t="str">
        <f aca="false">IF(OR(B78="",$B$85=0),"",B78/$B$85)</f>
        <v/>
      </c>
      <c r="K78" s="2" t="s">
        <v>104</v>
      </c>
    </row>
    <row r="79" customFormat="false" ht="15" hidden="false" customHeight="false" outlineLevel="0" collapsed="false">
      <c r="A79" s="4"/>
      <c r="B79" s="11"/>
      <c r="C79" s="19"/>
      <c r="D79" s="8"/>
      <c r="F79" s="20"/>
      <c r="G79" s="21" t="str">
        <f aca="false">IF(B79="","",IF(F79="",C79,IFERROR(YIELD(DCF!$P$2,D79,C79,F79,100,2,0),C79)))</f>
        <v/>
      </c>
      <c r="I79" s="16" t="str">
        <f aca="false">IF(OR(B79="",$B$85=0),"",B79/$B$85)</f>
        <v/>
      </c>
      <c r="K79" s="2" t="s">
        <v>105</v>
      </c>
    </row>
    <row r="80" customFormat="false" ht="15" hidden="false" customHeight="false" outlineLevel="0" collapsed="false">
      <c r="A80" s="4"/>
      <c r="B80" s="11"/>
      <c r="C80" s="19"/>
      <c r="D80" s="8"/>
      <c r="F80" s="20"/>
      <c r="G80" s="21" t="str">
        <f aca="false">IF(B80="","",IF(F80="",C80,IFERROR(YIELD(DCF!$P$2,D80,C80,F80,100,2,0),C80)))</f>
        <v/>
      </c>
      <c r="I80" s="16" t="str">
        <f aca="false">IF(OR(B80="",$B$85=0),"",B80/$B$85)</f>
        <v/>
      </c>
      <c r="K80" s="2" t="s">
        <v>106</v>
      </c>
    </row>
    <row r="81" customFormat="false" ht="15" hidden="false" customHeight="false" outlineLevel="0" collapsed="false">
      <c r="A81" s="4"/>
      <c r="B81" s="11"/>
      <c r="C81" s="19"/>
      <c r="D81" s="8"/>
      <c r="F81" s="20"/>
      <c r="G81" s="21" t="str">
        <f aca="false">IF(B81="","",IF(F81="",C81,IFERROR(YIELD(DCF!$P$2,D81,C81,F81,100,2,0),C81)))</f>
        <v/>
      </c>
      <c r="I81" s="16" t="str">
        <f aca="false">IF(OR(B81="",$B$85=0),"",B81/$B$85)</f>
        <v/>
      </c>
    </row>
    <row r="82" customFormat="false" ht="15" hidden="false" customHeight="false" outlineLevel="0" collapsed="false">
      <c r="A82" s="4"/>
      <c r="B82" s="11"/>
      <c r="C82" s="19"/>
      <c r="D82" s="8"/>
      <c r="F82" s="20"/>
      <c r="G82" s="21" t="str">
        <f aca="false">IF(B82="","",IF(F82="",C82,IFERROR(YIELD(DCF!$P$2,D82,C82,F82,100,2,0),C82)))</f>
        <v/>
      </c>
      <c r="I82" s="16" t="str">
        <f aca="false">IF(OR(B82="",$B$85=0),"",B82/$B$85)</f>
        <v/>
      </c>
    </row>
    <row r="83" customFormat="false" ht="15" hidden="false" customHeight="false" outlineLevel="0" collapsed="false">
      <c r="A83" s="4"/>
      <c r="B83" s="11"/>
      <c r="C83" s="19"/>
      <c r="D83" s="8"/>
      <c r="F83" s="20"/>
      <c r="G83" s="21" t="str">
        <f aca="false">IF(B83="","",IF(F83="",C83,IFERROR(YIELD(DCF!$P$2,D83,C83,F83,100,2,0),C83)))</f>
        <v/>
      </c>
      <c r="I83" s="16" t="str">
        <f aca="false">IF(OR(B83="",$B$85=0),"",B83/$B$85)</f>
        <v/>
      </c>
    </row>
    <row r="84" customFormat="false" ht="15" hidden="false" customHeight="false" outlineLevel="0" collapsed="false">
      <c r="A84" s="4"/>
      <c r="B84" s="11"/>
      <c r="C84" s="19"/>
      <c r="D84" s="8"/>
      <c r="F84" s="20"/>
      <c r="G84" s="21" t="str">
        <f aca="false">IF(B84="","",IF(F84="",C84,IFERROR(YIELD(DCF!$P$2,D84,C84,F84,100,2,0),C84)))</f>
        <v/>
      </c>
      <c r="I84" s="16" t="str">
        <f aca="false">IF(OR(B84="",$B$85=0),"",B84/$B$85)</f>
        <v/>
      </c>
    </row>
    <row r="85" customFormat="false" ht="15" hidden="false" customHeight="false" outlineLevel="0" collapsed="false">
      <c r="A85" s="13" t="s">
        <v>107</v>
      </c>
      <c r="B85" s="22" t="n">
        <f aca="false">SUM(B77:B84)</f>
        <v>0</v>
      </c>
      <c r="G85" s="23" t="n">
        <f aca="false">IF(B85=0,0,SUMPRODUCT(B77:B84,G77:G84)/B85)</f>
        <v>0</v>
      </c>
    </row>
    <row r="87" customFormat="false" ht="15" hidden="false" customHeight="false" outlineLevel="0" collapsed="false">
      <c r="A87" s="13" t="s">
        <v>108</v>
      </c>
    </row>
    <row r="88" customFormat="false" ht="15" hidden="false" customHeight="false" outlineLevel="0" collapsed="false">
      <c r="A88" s="2" t="s">
        <v>109</v>
      </c>
    </row>
    <row r="89" customFormat="false" ht="15" hidden="false" customHeight="false" outlineLevel="0" collapsed="false">
      <c r="A89" s="2" t="s">
        <v>110</v>
      </c>
    </row>
    <row r="90" customFormat="false" ht="15" hidden="false" customHeight="false" outlineLevel="0" collapsed="false">
      <c r="A90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7.5"/>
    <col collapsed="false" customWidth="true" hidden="false" outlineLevel="0" max="2" min="2" style="0" width="13"/>
    <col collapsed="false" customWidth="true" hidden="false" outlineLevel="0" max="8" min="3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43.2"/>
    <col collapsed="false" customWidth="true" hidden="false" outlineLevel="0" max="14" min="14" style="0" width="21.8"/>
    <col collapsed="false" customWidth="true" hidden="false" outlineLevel="0" max="15" min="15" style="0" width="52"/>
    <col collapsed="false" customWidth="true" hidden="false" outlineLevel="0" max="16" min="16" style="0" width="13.8"/>
    <col collapsed="false" customWidth="true" hidden="false" outlineLevel="0" max="17" min="17" style="0" width="40"/>
  </cols>
  <sheetData>
    <row r="1" customFormat="false" ht="34.5" hidden="false" customHeight="true" outlineLevel="0" collapsed="false">
      <c r="A1" s="24" t="s">
        <v>112</v>
      </c>
    </row>
    <row r="2" customFormat="false" ht="24" hidden="false" customHeight="true" outlineLevel="0" collapsed="false">
      <c r="A2" s="25" t="str">
        <f aca="false">IF(Quarterly!$B$4="","TICKER",Quarterly!$B$4)</f>
        <v>TICKER</v>
      </c>
      <c r="O2" s="26" t="s">
        <v>113</v>
      </c>
      <c r="P2" s="27"/>
      <c r="Q2" s="2" t="s">
        <v>114</v>
      </c>
    </row>
    <row r="3" customFormat="false" ht="15" hidden="false" customHeight="false" outlineLevel="0" collapsed="false">
      <c r="A3" s="2" t="s">
        <v>115</v>
      </c>
    </row>
    <row r="4" customFormat="false" ht="15" hidden="false" customHeight="false" outlineLevel="0" collapsed="false">
      <c r="A4" s="28" t="s">
        <v>116</v>
      </c>
      <c r="B4" s="28"/>
      <c r="C4" s="28"/>
      <c r="D4" s="28"/>
      <c r="E4" s="28"/>
      <c r="F4" s="28"/>
      <c r="G4" s="28"/>
      <c r="H4" s="28" t="str">
        <f aca="false">IF(Quarterly!$D$7="","FY0+1E","FY"&amp;(YEAR(Quarterly!$D$7)+1)&amp;"E")</f>
        <v>FY0+1E</v>
      </c>
      <c r="I4" s="28"/>
      <c r="J4" s="28"/>
      <c r="K4" s="28"/>
      <c r="L4" s="28"/>
      <c r="M4" s="28" t="s">
        <v>117</v>
      </c>
      <c r="N4" s="28"/>
      <c r="O4" s="28" t="s">
        <v>118</v>
      </c>
      <c r="P4" s="28"/>
    </row>
    <row r="5" customFormat="false" ht="15" hidden="false" customHeight="false" outlineLevel="0" collapsed="false">
      <c r="A5" s="29" t="s">
        <v>119</v>
      </c>
      <c r="B5" s="30" t="n">
        <f aca="false">Quarterly!D11</f>
        <v>0</v>
      </c>
      <c r="C5" s="2" t="s">
        <v>120</v>
      </c>
      <c r="H5" s="29" t="s">
        <v>121</v>
      </c>
      <c r="L5" s="30" t="n">
        <f aca="false">Quarterly!G11</f>
        <v>0</v>
      </c>
      <c r="M5" s="2" t="s">
        <v>122</v>
      </c>
      <c r="O5" s="29" t="s">
        <v>123</v>
      </c>
      <c r="P5" s="31" t="n">
        <f aca="true">IFERROR(VALUE(TRIM(RIGHT(SUBSTITUTE(TRIM(CLEAN(_xlfn.WEBSERVICE("https://fred.stlouisfed.org/graph/fredgraph.csv?id=DGS10&amp;cosd="&amp;TEXT(TODAY()-10,"yyyy-mm-dd")))),",",REPT(" ",200)),200)))/100,P9)</f>
        <v>0</v>
      </c>
      <c r="Q5" s="32" t="s">
        <v>124</v>
      </c>
    </row>
    <row r="6" customFormat="false" ht="15" hidden="false" customHeight="false" outlineLevel="0" collapsed="false">
      <c r="A6" s="29" t="s">
        <v>125</v>
      </c>
      <c r="B6" s="33" t="n">
        <f aca="false">Quarterly!D67</f>
        <v>0</v>
      </c>
      <c r="C6" s="2" t="s">
        <v>126</v>
      </c>
      <c r="H6" s="29" t="s">
        <v>127</v>
      </c>
      <c r="L6" s="30" t="n">
        <f aca="false">Quarterly!G54</f>
        <v>0</v>
      </c>
      <c r="M6" s="2" t="s">
        <v>128</v>
      </c>
      <c r="O6" s="29" t="s">
        <v>129</v>
      </c>
      <c r="P6" s="34"/>
      <c r="Q6" s="2" t="s">
        <v>130</v>
      </c>
    </row>
    <row r="7" customFormat="false" ht="15" hidden="false" customHeight="false" outlineLevel="0" collapsed="false">
      <c r="A7" s="29" t="s">
        <v>131</v>
      </c>
      <c r="B7" s="35" t="n">
        <f aca="false">P25</f>
        <v>0</v>
      </c>
      <c r="C7" s="2" t="s">
        <v>132</v>
      </c>
      <c r="H7" s="29" t="s">
        <v>133</v>
      </c>
      <c r="L7" s="36"/>
      <c r="M7" s="2" t="s">
        <v>134</v>
      </c>
      <c r="O7" s="29" t="s">
        <v>135</v>
      </c>
      <c r="P7" s="37"/>
      <c r="Q7" s="2" t="s">
        <v>136</v>
      </c>
    </row>
    <row r="8" customFormat="false" ht="15" hidden="false" customHeight="false" outlineLevel="0" collapsed="false">
      <c r="A8" s="29" t="s">
        <v>137</v>
      </c>
      <c r="B8" s="38"/>
      <c r="C8" s="2" t="s">
        <v>138</v>
      </c>
      <c r="H8" s="29" t="s">
        <v>139</v>
      </c>
      <c r="L8" s="36"/>
      <c r="M8" s="2" t="s">
        <v>140</v>
      </c>
      <c r="O8" s="26" t="s">
        <v>141</v>
      </c>
      <c r="P8" s="39" t="n">
        <f aca="false">P5+P6*P7</f>
        <v>0</v>
      </c>
    </row>
    <row r="9" customFormat="false" ht="15" hidden="false" customHeight="false" outlineLevel="0" collapsed="false">
      <c r="A9" s="29" t="s">
        <v>68</v>
      </c>
      <c r="B9" s="30" t="n">
        <f aca="false">Quarterly!G50</f>
        <v>0</v>
      </c>
      <c r="C9" s="2" t="s">
        <v>142</v>
      </c>
      <c r="H9" s="29" t="s">
        <v>143</v>
      </c>
      <c r="L9" s="40" t="n">
        <f aca="false">IF(COUNT(L7:L8)=2,AVERAGE(L7:L8),L6*(1+Quarterly!G57))</f>
        <v>0</v>
      </c>
      <c r="O9" s="2" t="s">
        <v>144</v>
      </c>
      <c r="P9" s="41"/>
      <c r="Q9" s="2" t="s">
        <v>145</v>
      </c>
    </row>
    <row r="10" customFormat="false" ht="15" hidden="false" customHeight="false" outlineLevel="0" collapsed="false">
      <c r="A10" s="29" t="s">
        <v>67</v>
      </c>
      <c r="B10" s="30" t="n">
        <f aca="false">Quarterly!G49</f>
        <v>0</v>
      </c>
      <c r="C10" s="2" t="s">
        <v>142</v>
      </c>
      <c r="H10" s="29" t="s">
        <v>146</v>
      </c>
      <c r="L10" s="35" t="n">
        <f aca="false">IF(L6=0,0,L9/L6-1)</f>
        <v>0</v>
      </c>
      <c r="M10" s="2" t="s">
        <v>147</v>
      </c>
      <c r="O10" s="28" t="s">
        <v>148</v>
      </c>
      <c r="P10" s="28"/>
    </row>
    <row r="11" customFormat="false" ht="15" hidden="false" customHeight="false" outlineLevel="0" collapsed="false">
      <c r="A11" s="29" t="s">
        <v>149</v>
      </c>
      <c r="B11" s="40" t="n">
        <f aca="false">B9-B10</f>
        <v>0</v>
      </c>
      <c r="H11" s="29" t="s">
        <v>150</v>
      </c>
      <c r="L11" s="40" t="n">
        <f aca="false">(Quarterly!D11-Quarterly!F11-Quarterly!G54)*(1+L10)</f>
        <v>0</v>
      </c>
      <c r="M11" s="2" t="s">
        <v>151</v>
      </c>
      <c r="O11" s="29" t="s">
        <v>152</v>
      </c>
      <c r="P11" s="42" t="n">
        <f aca="false">Quarterly!G85</f>
        <v>0</v>
      </c>
      <c r="Q11" s="2" t="s">
        <v>153</v>
      </c>
    </row>
    <row r="12" customFormat="false" ht="15" hidden="false" customHeight="false" outlineLevel="0" collapsed="false">
      <c r="A12" s="29" t="s">
        <v>154</v>
      </c>
      <c r="B12" s="43" t="n">
        <f aca="false">Quarterly!G51</f>
        <v>0</v>
      </c>
      <c r="C12" s="2" t="s">
        <v>155</v>
      </c>
      <c r="H12" s="26" t="str">
        <f aca="false">"FY"&amp;IF(Quarterly!$D$7="","0+1",YEAR(Quarterly!$D$7)+1)&amp;"E revenue"</f>
        <v>FY0+1E revenue</v>
      </c>
      <c r="L12" s="44" t="n">
        <f aca="false">L5+L9+L11</f>
        <v>0</v>
      </c>
      <c r="O12" s="29" t="s">
        <v>156</v>
      </c>
      <c r="P12" s="31" t="n">
        <f aca="false">IF(P11&gt;0,P11,IF(B10=0,0,Quarterly!D21/B10))</f>
        <v>0</v>
      </c>
      <c r="Q12" s="2" t="s">
        <v>157</v>
      </c>
    </row>
    <row r="13" customFormat="false" ht="15" hidden="false" customHeight="false" outlineLevel="0" collapsed="false">
      <c r="A13" s="29" t="s">
        <v>158</v>
      </c>
      <c r="B13" s="45"/>
      <c r="C13" s="2" t="s">
        <v>159</v>
      </c>
      <c r="H13" s="29" t="s">
        <v>160</v>
      </c>
      <c r="L13" s="36"/>
      <c r="M13" s="35" t="str">
        <f aca="false">IF(N(L13)=0,"",(L12-L13)/L13)</f>
        <v/>
      </c>
      <c r="O13" s="29" t="s">
        <v>125</v>
      </c>
      <c r="P13" s="35" t="n">
        <f aca="false">B6</f>
        <v>0</v>
      </c>
    </row>
    <row r="14" customFormat="false" ht="15" hidden="false" customHeight="false" outlineLevel="0" collapsed="false">
      <c r="A14" s="29" t="str">
        <f aca="false">"FY"&amp;IF(Quarterly!$D$7="","0+1",YEAR(Quarterly!$D$7)+1)&amp;"E Adj. EBITDA margin guidance (floor)"</f>
        <v>FY0+1E Adj. EBITDA margin guidance (floor)</v>
      </c>
      <c r="B14" s="38"/>
      <c r="C14" s="2" t="s">
        <v>161</v>
      </c>
      <c r="H14" s="29" t="s">
        <v>162</v>
      </c>
      <c r="L14" s="38"/>
      <c r="M14" s="2" t="s">
        <v>163</v>
      </c>
      <c r="O14" s="26" t="s">
        <v>164</v>
      </c>
      <c r="P14" s="39" t="n">
        <f aca="false">P12*(1-P13)</f>
        <v>0</v>
      </c>
    </row>
    <row r="15" customFormat="false" ht="39.75" hidden="false" customHeight="true" outlineLevel="0" collapsed="false">
      <c r="A15" s="29" t="s">
        <v>165</v>
      </c>
      <c r="B15" s="46" t="n">
        <f aca="false">Quarterly!D73</f>
        <v>0</v>
      </c>
      <c r="C15" s="47" t="s">
        <v>166</v>
      </c>
      <c r="D15" s="47"/>
      <c r="E15" s="47"/>
      <c r="F15" s="47"/>
      <c r="G15" s="47"/>
      <c r="H15" s="29" t="s">
        <v>167</v>
      </c>
      <c r="L15" s="38"/>
      <c r="M15" s="2" t="s">
        <v>168</v>
      </c>
    </row>
    <row r="16" customFormat="false" ht="15" hidden="false" customHeight="false" outlineLevel="0" collapsed="false">
      <c r="O16" s="28" t="s">
        <v>169</v>
      </c>
      <c r="P16" s="28"/>
    </row>
    <row r="17" customFormat="false" ht="15" hidden="false" customHeight="false" outlineLevel="0" collapsed="false">
      <c r="A17" s="28" t="s">
        <v>170</v>
      </c>
      <c r="B17" s="48" t="str">
        <f aca="false">IF(Quarterly!$D$7="","FY0A","FY"&amp;(YEAR(Quarterly!$D$7)+0)&amp;"A")</f>
        <v>FY0A</v>
      </c>
      <c r="C17" s="48" t="str">
        <f aca="false">IF(Quarterly!$D$7="","FY0+1E","FY"&amp;(YEAR(Quarterly!$D$7)+1)&amp;"E")</f>
        <v>FY0+1E</v>
      </c>
      <c r="D17" s="48" t="str">
        <f aca="false">IF(Quarterly!$D$7="","FY0+2E","FY"&amp;(YEAR(Quarterly!$D$7)+2)&amp;"E")</f>
        <v>FY0+2E</v>
      </c>
      <c r="E17" s="48" t="str">
        <f aca="false">IF(Quarterly!$D$7="","FY0+3E","FY"&amp;(YEAR(Quarterly!$D$7)+3)&amp;"E")</f>
        <v>FY0+3E</v>
      </c>
      <c r="F17" s="48" t="str">
        <f aca="false">IF(Quarterly!$D$7="","FY0+4E","FY"&amp;(YEAR(Quarterly!$D$7)+4)&amp;"E")</f>
        <v>FY0+4E</v>
      </c>
      <c r="G17" s="48" t="str">
        <f aca="false">IF(Quarterly!$D$7="","FY0+5E","FY"&amp;(YEAR(Quarterly!$D$7)+5)&amp;"E")</f>
        <v>FY0+5E</v>
      </c>
      <c r="O17" s="29" t="s">
        <v>171</v>
      </c>
      <c r="P17" s="40" t="n">
        <f aca="false">B13*B12</f>
        <v>0</v>
      </c>
    </row>
    <row r="18" customFormat="false" ht="15" hidden="false" customHeight="false" outlineLevel="0" collapsed="false">
      <c r="A18" s="29" t="s">
        <v>172</v>
      </c>
      <c r="B18" s="49" t="n">
        <v>0</v>
      </c>
      <c r="C18" s="50" t="n">
        <f aca="false">B18+1</f>
        <v>1</v>
      </c>
      <c r="D18" s="50" t="n">
        <f aca="false">C18+1</f>
        <v>2</v>
      </c>
      <c r="E18" s="50" t="n">
        <f aca="false">D18+1</f>
        <v>3</v>
      </c>
      <c r="F18" s="50" t="n">
        <f aca="false">E18+1</f>
        <v>4</v>
      </c>
      <c r="G18" s="50" t="n">
        <f aca="false">F18+1</f>
        <v>5</v>
      </c>
      <c r="O18" s="29" t="s">
        <v>173</v>
      </c>
      <c r="P18" s="40" t="n">
        <f aca="false">B10</f>
        <v>0</v>
      </c>
    </row>
    <row r="19" customFormat="false" ht="24.75" hidden="false" customHeight="true" outlineLevel="0" collapsed="false">
      <c r="A19" s="29" t="s">
        <v>174</v>
      </c>
      <c r="B19" s="33" t="n">
        <f aca="false">Quarterly!D57</f>
        <v>0</v>
      </c>
      <c r="C19" s="35" t="n">
        <f aca="false">IF(B20=0,0,(C20-B20)/B20)</f>
        <v>0</v>
      </c>
      <c r="D19" s="35" t="n">
        <f aca="false">$L$14</f>
        <v>0</v>
      </c>
      <c r="E19" s="35" t="n">
        <f aca="false">D19-$L$15</f>
        <v>0</v>
      </c>
      <c r="F19" s="35" t="n">
        <f aca="false">E19-$L$15</f>
        <v>0</v>
      </c>
      <c r="G19" s="35" t="n">
        <f aca="false">F19-$L$15</f>
        <v>0</v>
      </c>
      <c r="H19" s="51" t="s">
        <v>175</v>
      </c>
      <c r="I19" s="51"/>
      <c r="J19" s="51"/>
      <c r="K19" s="51"/>
      <c r="L19" s="51"/>
      <c r="M19" s="51"/>
      <c r="N19" s="51"/>
      <c r="O19" s="29" t="s">
        <v>176</v>
      </c>
      <c r="P19" s="35" t="n">
        <f aca="false">IF(P17+P18=0,0,P17/(P17+P18))</f>
        <v>0</v>
      </c>
    </row>
    <row r="20" customFormat="false" ht="15" hidden="false" customHeight="false" outlineLevel="0" collapsed="false">
      <c r="A20" s="26" t="s">
        <v>177</v>
      </c>
      <c r="B20" s="44" t="n">
        <f aca="false">B5</f>
        <v>0</v>
      </c>
      <c r="C20" s="44" t="n">
        <f aca="false">L12</f>
        <v>0</v>
      </c>
      <c r="D20" s="44" t="n">
        <f aca="false">C20*(1+D19)</f>
        <v>0</v>
      </c>
      <c r="E20" s="44" t="n">
        <f aca="false">D20*(1+E19)</f>
        <v>0</v>
      </c>
      <c r="F20" s="44" t="n">
        <f aca="false">E20*(1+F19)</f>
        <v>0</v>
      </c>
      <c r="G20" s="44" t="n">
        <f aca="false">F20*(1+G19)</f>
        <v>0</v>
      </c>
      <c r="O20" s="29" t="s">
        <v>178</v>
      </c>
      <c r="P20" s="35" t="n">
        <f aca="false">IF(P17+P18=0,0,P18/(P17+P18))</f>
        <v>0</v>
      </c>
    </row>
    <row r="21" customFormat="false" ht="15" hidden="false" customHeight="false" outlineLevel="0" collapsed="false">
      <c r="A21" s="29" t="s">
        <v>179</v>
      </c>
      <c r="B21" s="35" t="n">
        <f aca="false">IF(B20=0,0,B22/B20)</f>
        <v>0</v>
      </c>
      <c r="C21" s="35" t="n">
        <f aca="false">B14</f>
        <v>0</v>
      </c>
      <c r="D21" s="35" t="n">
        <f aca="false">$C$21+($B$15-$C$21)*1/4</f>
        <v>0</v>
      </c>
      <c r="E21" s="35" t="n">
        <f aca="false">$C$21+($B$15-$C$21)*2/4</f>
        <v>0</v>
      </c>
      <c r="F21" s="35" t="n">
        <f aca="false">$C$21+($B$15-$C$21)*3/4</f>
        <v>0</v>
      </c>
      <c r="G21" s="35" t="n">
        <f aca="false">$C$21+($B$15-$C$21)*4/4</f>
        <v>0</v>
      </c>
      <c r="H21" s="2" t="s">
        <v>180</v>
      </c>
    </row>
    <row r="22" customFormat="false" ht="15" hidden="false" customHeight="false" outlineLevel="0" collapsed="false">
      <c r="A22" s="29" t="s">
        <v>181</v>
      </c>
      <c r="B22" s="30" t="n">
        <f aca="false">Quarterly!D34</f>
        <v>0</v>
      </c>
      <c r="C22" s="40" t="n">
        <f aca="false">C20*C21</f>
        <v>0</v>
      </c>
      <c r="D22" s="40" t="n">
        <f aca="false">D20*D21</f>
        <v>0</v>
      </c>
      <c r="E22" s="40" t="n">
        <f aca="false">E20*E21</f>
        <v>0</v>
      </c>
      <c r="F22" s="40" t="n">
        <f aca="false">F20*F21</f>
        <v>0</v>
      </c>
      <c r="G22" s="40" t="n">
        <f aca="false">G20*G21</f>
        <v>0</v>
      </c>
      <c r="O22" s="28" t="s">
        <v>182</v>
      </c>
      <c r="P22" s="28"/>
    </row>
    <row r="23" customFormat="false" ht="15" hidden="false" customHeight="false" outlineLevel="0" collapsed="false">
      <c r="A23" s="29" t="s">
        <v>83</v>
      </c>
      <c r="B23" s="33" t="n">
        <f aca="false">Quarterly!D65</f>
        <v>0</v>
      </c>
      <c r="C23" s="33" t="n">
        <f aca="false">Quarterly!I65</f>
        <v>0</v>
      </c>
      <c r="D23" s="35" t="n">
        <f aca="false">$C$23</f>
        <v>0</v>
      </c>
      <c r="E23" s="35" t="n">
        <f aca="false">$C$23</f>
        <v>0</v>
      </c>
      <c r="F23" s="35" t="n">
        <f aca="false">$C$23</f>
        <v>0</v>
      </c>
      <c r="G23" s="35" t="n">
        <f aca="false">$C$23</f>
        <v>0</v>
      </c>
      <c r="H23" s="2" t="s">
        <v>183</v>
      </c>
      <c r="O23" s="29" t="s">
        <v>184</v>
      </c>
      <c r="P23" s="31" t="n">
        <f aca="false">P19*P8</f>
        <v>0</v>
      </c>
    </row>
    <row r="24" customFormat="false" ht="15" hidden="false" customHeight="false" outlineLevel="0" collapsed="false">
      <c r="A24" s="29" t="s">
        <v>185</v>
      </c>
      <c r="B24" s="40" t="n">
        <f aca="false">-B20*B23</f>
        <v>-0</v>
      </c>
      <c r="C24" s="40" t="n">
        <f aca="false">-C20*C23</f>
        <v>-0</v>
      </c>
      <c r="D24" s="40" t="n">
        <f aca="false">-D20*D23</f>
        <v>-0</v>
      </c>
      <c r="E24" s="40" t="n">
        <f aca="false">-E20*E23</f>
        <v>-0</v>
      </c>
      <c r="F24" s="40" t="n">
        <f aca="false">-F20*F23</f>
        <v>-0</v>
      </c>
      <c r="G24" s="40" t="n">
        <f aca="false">-G20*G23</f>
        <v>-0</v>
      </c>
      <c r="O24" s="29" t="s">
        <v>186</v>
      </c>
      <c r="P24" s="31" t="n">
        <f aca="false">P20*P14</f>
        <v>0</v>
      </c>
    </row>
    <row r="25" customFormat="false" ht="15" hidden="false" customHeight="false" outlineLevel="0" collapsed="false">
      <c r="A25" s="26" t="s">
        <v>187</v>
      </c>
      <c r="B25" s="44" t="n">
        <f aca="false">B22+B24</f>
        <v>0</v>
      </c>
      <c r="C25" s="44" t="n">
        <f aca="false">C22+C24</f>
        <v>0</v>
      </c>
      <c r="D25" s="44" t="n">
        <f aca="false">D22+D24</f>
        <v>0</v>
      </c>
      <c r="E25" s="44" t="n">
        <f aca="false">E22+E24</f>
        <v>0</v>
      </c>
      <c r="F25" s="44" t="n">
        <f aca="false">F22+F24</f>
        <v>0</v>
      </c>
      <c r="G25" s="44" t="n">
        <f aca="false">G22+G24</f>
        <v>0</v>
      </c>
      <c r="O25" s="26" t="s">
        <v>182</v>
      </c>
      <c r="P25" s="52" t="n">
        <f aca="false">P23+P24</f>
        <v>0</v>
      </c>
    </row>
    <row r="26" customFormat="false" ht="15" hidden="false" customHeight="false" outlineLevel="0" collapsed="false">
      <c r="A26" s="29" t="s">
        <v>188</v>
      </c>
      <c r="B26" s="40" t="n">
        <f aca="false">-MAX(B25,0)*$B$6</f>
        <v>-0</v>
      </c>
      <c r="C26" s="40" t="n">
        <f aca="false">-MAX(C25,0)*$B$6</f>
        <v>-0</v>
      </c>
      <c r="D26" s="40" t="n">
        <f aca="false">-MAX(D25,0)*$B$6</f>
        <v>-0</v>
      </c>
      <c r="E26" s="40" t="n">
        <f aca="false">-MAX(E25,0)*$B$6</f>
        <v>-0</v>
      </c>
      <c r="F26" s="40" t="n">
        <f aca="false">-MAX(F25,0)*$B$6</f>
        <v>-0</v>
      </c>
      <c r="G26" s="40" t="n">
        <f aca="false">-MAX(G25,0)*$B$6</f>
        <v>-0</v>
      </c>
      <c r="H26" s="2" t="s">
        <v>189</v>
      </c>
    </row>
    <row r="27" customFormat="false" ht="15" hidden="false" customHeight="false" outlineLevel="0" collapsed="false">
      <c r="A27" s="26" t="s">
        <v>190</v>
      </c>
      <c r="B27" s="44" t="n">
        <f aca="false">B25+B26</f>
        <v>0</v>
      </c>
      <c r="C27" s="44" t="n">
        <f aca="false">C25+C26</f>
        <v>0</v>
      </c>
      <c r="D27" s="44" t="n">
        <f aca="false">D25+D26</f>
        <v>0</v>
      </c>
      <c r="E27" s="44" t="n">
        <f aca="false">E25+E26</f>
        <v>0</v>
      </c>
      <c r="F27" s="44" t="n">
        <f aca="false">F25+F26</f>
        <v>0</v>
      </c>
      <c r="G27" s="44" t="n">
        <f aca="false">G25+G26</f>
        <v>0</v>
      </c>
    </row>
    <row r="28" customFormat="false" ht="15" hidden="false" customHeight="false" outlineLevel="0" collapsed="false">
      <c r="A28" s="29" t="s">
        <v>191</v>
      </c>
      <c r="B28" s="40" t="n">
        <f aca="false">-B24</f>
        <v>0</v>
      </c>
      <c r="C28" s="40" t="n">
        <f aca="false">-C24</f>
        <v>0</v>
      </c>
      <c r="D28" s="40" t="n">
        <f aca="false">-D24</f>
        <v>0</v>
      </c>
      <c r="E28" s="40" t="n">
        <f aca="false">-E24</f>
        <v>0</v>
      </c>
      <c r="F28" s="40" t="n">
        <f aca="false">-F24</f>
        <v>0</v>
      </c>
      <c r="G28" s="40" t="n">
        <f aca="false">-G24</f>
        <v>0</v>
      </c>
    </row>
    <row r="29" customFormat="false" ht="15" hidden="false" customHeight="false" outlineLevel="0" collapsed="false">
      <c r="A29" s="29" t="s">
        <v>84</v>
      </c>
      <c r="B29" s="33" t="n">
        <f aca="false">Quarterly!D66</f>
        <v>0</v>
      </c>
      <c r="C29" s="33" t="n">
        <f aca="false">Quarterly!$D$71</f>
        <v>0</v>
      </c>
      <c r="D29" s="33" t="n">
        <f aca="false">Quarterly!$D$71</f>
        <v>0</v>
      </c>
      <c r="E29" s="33" t="n">
        <f aca="false">Quarterly!$D$71</f>
        <v>0</v>
      </c>
      <c r="F29" s="33" t="n">
        <f aca="false">Quarterly!$D$71</f>
        <v>0</v>
      </c>
      <c r="G29" s="33" t="n">
        <f aca="false">Quarterly!$D$71</f>
        <v>0</v>
      </c>
      <c r="H29" s="2" t="s">
        <v>192</v>
      </c>
    </row>
    <row r="30" customFormat="false" ht="15" hidden="false" customHeight="false" outlineLevel="0" collapsed="false">
      <c r="A30" s="29" t="s">
        <v>193</v>
      </c>
      <c r="B30" s="40" t="n">
        <f aca="false">-B20*B29</f>
        <v>-0</v>
      </c>
      <c r="C30" s="40" t="n">
        <f aca="false">-C20*C29</f>
        <v>-0</v>
      </c>
      <c r="D30" s="40" t="n">
        <f aca="false">-D20*D29</f>
        <v>-0</v>
      </c>
      <c r="E30" s="40" t="n">
        <f aca="false">-E20*E29</f>
        <v>-0</v>
      </c>
      <c r="F30" s="40" t="n">
        <f aca="false">-F20*F29</f>
        <v>-0</v>
      </c>
      <c r="G30" s="40" t="n">
        <f aca="false">-G20*G29</f>
        <v>-0</v>
      </c>
    </row>
    <row r="31" customFormat="false" ht="15" hidden="false" customHeight="false" outlineLevel="0" collapsed="false">
      <c r="A31" s="29" t="s">
        <v>86</v>
      </c>
      <c r="C31" s="33" t="n">
        <f aca="false">Quarterly!$D$72</f>
        <v>0</v>
      </c>
      <c r="D31" s="33" t="n">
        <f aca="false">Quarterly!$D$72</f>
        <v>0</v>
      </c>
      <c r="E31" s="33" t="n">
        <f aca="false">Quarterly!$D$72</f>
        <v>0</v>
      </c>
      <c r="F31" s="33" t="n">
        <f aca="false">Quarterly!$D$72</f>
        <v>0</v>
      </c>
      <c r="G31" s="33" t="n">
        <f aca="false">Quarterly!$D$72</f>
        <v>0</v>
      </c>
      <c r="H31" s="2" t="s">
        <v>194</v>
      </c>
    </row>
    <row r="32" customFormat="false" ht="15" hidden="false" customHeight="false" outlineLevel="0" collapsed="false">
      <c r="A32" s="29" t="s">
        <v>195</v>
      </c>
      <c r="C32" s="40" t="n">
        <f aca="false">-(C20-B20)*C31</f>
        <v>-0</v>
      </c>
      <c r="D32" s="40" t="n">
        <f aca="false">-(D20-C20)*D31</f>
        <v>-0</v>
      </c>
      <c r="E32" s="40" t="n">
        <f aca="false">-(E20-D20)*E31</f>
        <v>-0</v>
      </c>
      <c r="F32" s="40" t="n">
        <f aca="false">-(F20-E20)*F31</f>
        <v>-0</v>
      </c>
      <c r="G32" s="40" t="n">
        <f aca="false">-(G20-F20)*G31</f>
        <v>-0</v>
      </c>
    </row>
    <row r="33" customFormat="false" ht="15" hidden="false" customHeight="false" outlineLevel="0" collapsed="false">
      <c r="A33" s="26" t="s">
        <v>196</v>
      </c>
      <c r="C33" s="53" t="n">
        <f aca="false">C27+C28+C30+C32</f>
        <v>0</v>
      </c>
      <c r="D33" s="53" t="n">
        <f aca="false">D27+D28+D30+D32</f>
        <v>0</v>
      </c>
      <c r="E33" s="53" t="n">
        <f aca="false">E27+E28+E30+E32</f>
        <v>0</v>
      </c>
      <c r="F33" s="53" t="n">
        <f aca="false">F27+F28+F30+F32</f>
        <v>0</v>
      </c>
      <c r="G33" s="53" t="n">
        <f aca="false">G27+G28+G30+G32</f>
        <v>0</v>
      </c>
    </row>
    <row r="34" customFormat="false" ht="15" hidden="false" customHeight="false" outlineLevel="0" collapsed="false">
      <c r="A34" s="29" t="s">
        <v>197</v>
      </c>
      <c r="C34" s="54" t="n">
        <f aca="false">1/(1+$B$7)^C18</f>
        <v>1</v>
      </c>
      <c r="D34" s="54" t="n">
        <f aca="false">1/(1+$B$7)^D18</f>
        <v>1</v>
      </c>
      <c r="E34" s="54" t="n">
        <f aca="false">1/(1+$B$7)^E18</f>
        <v>1</v>
      </c>
      <c r="F34" s="54" t="n">
        <f aca="false">1/(1+$B$7)^F18</f>
        <v>1</v>
      </c>
      <c r="G34" s="54" t="n">
        <f aca="false">1/(1+$B$7)^G18</f>
        <v>1</v>
      </c>
      <c r="H34" s="2" t="s">
        <v>198</v>
      </c>
    </row>
    <row r="35" customFormat="false" ht="15" hidden="false" customHeight="false" outlineLevel="0" collapsed="false">
      <c r="A35" s="26" t="s">
        <v>199</v>
      </c>
      <c r="C35" s="44" t="n">
        <f aca="false">C33*C34</f>
        <v>0</v>
      </c>
      <c r="D35" s="44" t="n">
        <f aca="false">D33*D34</f>
        <v>0</v>
      </c>
      <c r="E35" s="44" t="n">
        <f aca="false">E33*E34</f>
        <v>0</v>
      </c>
      <c r="F35" s="44" t="n">
        <f aca="false">F33*F34</f>
        <v>0</v>
      </c>
      <c r="G35" s="44" t="n">
        <f aca="false">G33*G34</f>
        <v>0</v>
      </c>
    </row>
    <row r="38" customFormat="false" ht="15" hidden="false" customHeight="false" outlineLevel="0" collapsed="false">
      <c r="A38" s="28" t="s">
        <v>200</v>
      </c>
      <c r="B38" s="28"/>
    </row>
    <row r="39" customFormat="false" ht="15" hidden="false" customHeight="false" outlineLevel="0" collapsed="false">
      <c r="A39" s="29" t="s">
        <v>201</v>
      </c>
      <c r="B39" s="40" t="n">
        <f aca="false">SUM(C35:G35)</f>
        <v>0</v>
      </c>
    </row>
    <row r="40" customFormat="false" ht="15" hidden="false" customHeight="false" outlineLevel="0" collapsed="false">
      <c r="A40" s="29" t="s">
        <v>202</v>
      </c>
      <c r="B40" s="40" t="n">
        <f aca="false">G33*(1+B8)</f>
        <v>0</v>
      </c>
    </row>
    <row r="41" customFormat="false" ht="15" hidden="false" customHeight="false" outlineLevel="0" collapsed="false">
      <c r="A41" s="29" t="s">
        <v>203</v>
      </c>
      <c r="B41" s="40" t="n">
        <f aca="false">IF(B7&gt;B8,B40/(B7-B8),IF(B7=0,0,NA()))</f>
        <v>0</v>
      </c>
    </row>
    <row r="42" customFormat="false" ht="15" hidden="false" customHeight="false" outlineLevel="0" collapsed="false">
      <c r="A42" s="29" t="s">
        <v>204</v>
      </c>
      <c r="B42" s="40" t="n">
        <f aca="false">B41*G34</f>
        <v>0</v>
      </c>
    </row>
    <row r="43" customFormat="false" ht="15" hidden="false" customHeight="false" outlineLevel="0" collapsed="false">
      <c r="A43" s="26" t="s">
        <v>205</v>
      </c>
      <c r="B43" s="53" t="n">
        <f aca="false">B39+B42</f>
        <v>0</v>
      </c>
    </row>
    <row r="44" customFormat="false" ht="15" hidden="false" customHeight="false" outlineLevel="0" collapsed="false">
      <c r="A44" s="29" t="s">
        <v>206</v>
      </c>
      <c r="B44" s="40" t="n">
        <f aca="false">B11</f>
        <v>0</v>
      </c>
    </row>
    <row r="45" customFormat="false" ht="15" hidden="false" customHeight="false" outlineLevel="0" collapsed="false">
      <c r="A45" s="26" t="s">
        <v>207</v>
      </c>
      <c r="B45" s="53" t="n">
        <f aca="false">B43+B44</f>
        <v>0</v>
      </c>
    </row>
    <row r="46" customFormat="false" ht="15" hidden="false" customHeight="false" outlineLevel="0" collapsed="false">
      <c r="A46" s="29" t="s">
        <v>208</v>
      </c>
      <c r="B46" s="55" t="n">
        <f aca="false">B12</f>
        <v>0</v>
      </c>
    </row>
    <row r="47" customFormat="false" ht="15" hidden="false" customHeight="false" outlineLevel="0" collapsed="false">
      <c r="A47" s="26" t="s">
        <v>209</v>
      </c>
      <c r="B47" s="56" t="n">
        <f aca="false">IF(B46=0,0,B45/B46)</f>
        <v>0</v>
      </c>
    </row>
    <row r="48" customFormat="false" ht="15" hidden="false" customHeight="false" outlineLevel="0" collapsed="false">
      <c r="A48" s="29" t="s">
        <v>158</v>
      </c>
      <c r="B48" s="57" t="n">
        <f aca="false">B13</f>
        <v>0</v>
      </c>
    </row>
    <row r="49" customFormat="false" ht="15" hidden="false" customHeight="false" outlineLevel="0" collapsed="false">
      <c r="A49" s="29" t="s">
        <v>210</v>
      </c>
      <c r="B49" s="35" t="n">
        <f aca="false">IF(B48=0,0,B47/B48-1)</f>
        <v>0</v>
      </c>
    </row>
    <row r="50" customFormat="false" ht="15" hidden="false" customHeight="false" outlineLevel="0" collapsed="false">
      <c r="A50" s="2" t="s">
        <v>211</v>
      </c>
      <c r="B50" s="58" t="n">
        <f aca="false">IF(B43=0,0,B42/B43)</f>
        <v>0</v>
      </c>
    </row>
  </sheetData>
  <mergeCells count="2">
    <mergeCell ref="C15:G15"/>
    <mergeCell ref="H19:N19"/>
  </mergeCells>
  <hyperlinks>
    <hyperlink ref="Q5" r:id="rId1" display="FRED DGS10 – live pull on Windows Excel; Mac uses the fallback bel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11" min="11" style="0" width="22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28" t="str">
        <f aca="false">"Valuation Drivers for FY"&amp;IF(Quarterly!$D$7="","FY0+2",YEAR(Quarterly!$D$7)+2)</f>
        <v>Valuation Drivers for FYFY0+2</v>
      </c>
      <c r="B1" s="28"/>
      <c r="C1" s="28"/>
      <c r="D1" s="28"/>
      <c r="E1" s="28"/>
      <c r="F1" s="28"/>
      <c r="G1" s="28"/>
      <c r="H1" s="28"/>
      <c r="I1" s="28"/>
      <c r="K1" s="59" t="s">
        <v>212</v>
      </c>
      <c r="L1" s="59" t="s">
        <v>213</v>
      </c>
      <c r="M1" s="59" t="s">
        <v>214</v>
      </c>
    </row>
    <row r="2" customFormat="false" ht="15" hidden="false" customHeight="false" outlineLevel="0" collapsed="false">
      <c r="A2" s="29" t="str">
        <f aca="false">"Target P/E on FY"&amp;IF(Quarterly!$D$7="","FY0+2",YEAR(Quarterly!$D$7)+2)&amp;"E EPS"</f>
        <v>Target P/E on FYFY0+2E EPS</v>
      </c>
      <c r="B2" s="60" t="n">
        <f aca="false">IF(COUNT(L2:L6)=0,0,AVERAGE(L2:L6))</f>
        <v>0</v>
      </c>
      <c r="C2" s="61" t="s">
        <v>215</v>
      </c>
      <c r="K2" s="62"/>
      <c r="L2" s="63"/>
      <c r="M2" s="62"/>
    </row>
    <row r="3" customFormat="false" ht="15" hidden="false" customHeight="false" outlineLevel="0" collapsed="false">
      <c r="A3" s="29" t="s">
        <v>216</v>
      </c>
      <c r="B3" s="64"/>
      <c r="C3" s="61" t="s">
        <v>217</v>
      </c>
      <c r="K3" s="62"/>
      <c r="L3" s="63"/>
      <c r="M3" s="62"/>
    </row>
    <row r="4" customFormat="false" ht="15" hidden="false" customHeight="false" outlineLevel="0" collapsed="false">
      <c r="K4" s="62"/>
      <c r="L4" s="63"/>
      <c r="M4" s="62"/>
    </row>
    <row r="5" customFormat="false" ht="15" hidden="false" customHeight="false" outlineLevel="0" collapsed="false">
      <c r="A5" s="29" t="s">
        <v>218</v>
      </c>
      <c r="B5" s="65" t="n">
        <f aca="false">DCF!P17-DCF!B11</f>
        <v>0</v>
      </c>
      <c r="K5" s="62"/>
      <c r="L5" s="63"/>
      <c r="M5" s="62"/>
    </row>
    <row r="6" customFormat="false" ht="15" hidden="false" customHeight="false" outlineLevel="0" collapsed="false">
      <c r="A6" s="29" t="s">
        <v>219</v>
      </c>
      <c r="B6" s="33" t="n">
        <f aca="false">IF(Quarterly!I34=0,0,Quarterly!I41/Quarterly!I34)</f>
        <v>0</v>
      </c>
      <c r="C6" s="29" t="s">
        <v>220</v>
      </c>
      <c r="K6" s="62"/>
      <c r="L6" s="63"/>
      <c r="M6" s="62"/>
    </row>
    <row r="7" customFormat="false" ht="15" hidden="false" customHeight="false" outlineLevel="0" collapsed="false">
      <c r="A7" s="29" t="s">
        <v>221</v>
      </c>
      <c r="B7" s="65" t="n">
        <f aca="false">DCF!D22*B6</f>
        <v>0</v>
      </c>
      <c r="C7" s="29" t="s">
        <v>222</v>
      </c>
    </row>
    <row r="8" customFormat="false" ht="15" hidden="false" customHeight="false" outlineLevel="0" collapsed="false">
      <c r="A8" s="29" t="str">
        <f aca="false">"Target EV / FCF on FY"&amp;IF(Quarterly!$D$7="","FY0+2",YEAR(Quarterly!$D$7)+2)&amp;"E FCF"</f>
        <v>Target EV / FCF on FYFY0+2E FCF</v>
      </c>
      <c r="B8" s="66" t="n">
        <f aca="false">IF(Quarterly!I41=0,0,B5/Quarterly!I41)</f>
        <v>0</v>
      </c>
      <c r="C8" s="29" t="s">
        <v>223</v>
      </c>
    </row>
    <row r="13" customFormat="false" ht="15" hidden="false" customHeight="false" outlineLevel="0" collapsed="false">
      <c r="A13" s="28" t="s">
        <v>224</v>
      </c>
      <c r="B13" s="28"/>
      <c r="C13" s="67" t="s">
        <v>225</v>
      </c>
      <c r="D13" s="28" t="s">
        <v>101</v>
      </c>
      <c r="E13" s="28"/>
      <c r="F13" s="28"/>
      <c r="G13" s="28"/>
      <c r="H13" s="28"/>
      <c r="I13" s="28"/>
    </row>
    <row r="14" customFormat="false" ht="15" hidden="false" customHeight="false" outlineLevel="0" collapsed="false">
      <c r="A14" s="29" t="s">
        <v>226</v>
      </c>
      <c r="B14" s="65" t="n">
        <f aca="false">DCF!B47</f>
        <v>0</v>
      </c>
      <c r="C14" s="31" t="n">
        <f aca="false">IF(DCF!$B$13=0,0,(B14-DCF!$B$13)/DCF!$B$13)</f>
        <v>0</v>
      </c>
      <c r="D14" s="34" t="n">
        <v>0.333333333333333</v>
      </c>
    </row>
    <row r="15" customFormat="false" ht="15" hidden="false" customHeight="false" outlineLevel="0" collapsed="false">
      <c r="A15" s="29" t="s">
        <v>227</v>
      </c>
      <c r="B15" s="68" t="n">
        <f aca="false">B3*B2</f>
        <v>0</v>
      </c>
      <c r="C15" s="31" t="n">
        <f aca="false">IF(DCF!$B$13=0,0,(B15-DCF!$B$13)/DCF!$B$13)</f>
        <v>0</v>
      </c>
      <c r="D15" s="34" t="n">
        <v>0.333333333333333</v>
      </c>
    </row>
    <row r="16" customFormat="false" ht="15" hidden="false" customHeight="false" outlineLevel="0" collapsed="false">
      <c r="A16" s="29" t="s">
        <v>228</v>
      </c>
      <c r="B16" s="68" t="n">
        <f aca="false">IF(DCF!B12=0,0,(B8*B7+DCF!B11)/DCF!B12)</f>
        <v>0</v>
      </c>
      <c r="C16" s="31" t="n">
        <f aca="false">IF(DCF!$B$13=0,0,(B16-DCF!$B$13)/DCF!$B$13)</f>
        <v>0</v>
      </c>
      <c r="D16" s="34" t="n">
        <v>0.333333333333333</v>
      </c>
    </row>
    <row r="17" customFormat="false" ht="15" hidden="false" customHeight="false" outlineLevel="0" collapsed="false">
      <c r="A17" s="26" t="s">
        <v>229</v>
      </c>
      <c r="B17" s="68" t="n">
        <f aca="false">IF(SUM(D14:D16)=0,0,SUMPRODUCT(B14:B16,D14:D16)/SUM(D14:D16))</f>
        <v>0</v>
      </c>
      <c r="C17" s="31" t="n">
        <f aca="false">IF(DCF!$B$13=0,0,(B17-DCF!$B$13)/DCF!$B$13)</f>
        <v>0</v>
      </c>
    </row>
    <row r="18" customFormat="false" ht="15" hidden="false" customHeight="false" outlineLevel="0" collapsed="false">
      <c r="A18" s="26" t="s">
        <v>230</v>
      </c>
      <c r="B18" s="69" t="n">
        <f aca="false">MROUND(B17,5)</f>
        <v>0</v>
      </c>
      <c r="C18" s="70" t="n">
        <f aca="false">IF(DCF!$B$13=0,0,(B18-DCF!$B$13)/DCF!$B$13)</f>
        <v>0</v>
      </c>
    </row>
    <row r="19" customFormat="false" ht="15" hidden="false" customHeight="false" outlineLevel="0" collapsed="false">
      <c r="A19" s="29" t="str">
        <f aca="false">"Implied P/E on FY"&amp;IF(Quarterly!$D$7="","FY0+2",YEAR(Quarterly!$D$7)+2)&amp;"E at target"</f>
        <v>Implied P/E on FYFY0+2E at target</v>
      </c>
      <c r="B19" s="71" t="n">
        <f aca="false">IF(B3=0,0,B18/B3)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72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28" t="s">
        <v>233</v>
      </c>
      <c r="B4" s="28"/>
      <c r="C4" s="28"/>
      <c r="D4" s="28"/>
      <c r="E4" s="28"/>
      <c r="F4" s="28"/>
    </row>
    <row r="5" customFormat="false" ht="15" hidden="false" customHeight="false" outlineLevel="0" collapsed="false">
      <c r="A5" s="28" t="s">
        <v>234</v>
      </c>
      <c r="B5" s="73" t="n">
        <f aca="false">DCF!$B$8+(-0.01)</f>
        <v>-0.01</v>
      </c>
      <c r="C5" s="73" t="n">
        <f aca="false">DCF!$B$8+(-0.005)</f>
        <v>-0.005</v>
      </c>
      <c r="D5" s="73" t="n">
        <f aca="false">DCF!$B$8+(0)</f>
        <v>0</v>
      </c>
      <c r="E5" s="73" t="n">
        <f aca="false">DCF!$B$8+(0.005)</f>
        <v>0.005</v>
      </c>
      <c r="F5" s="73" t="n">
        <f aca="false">DCF!$B$8+(0.01)</f>
        <v>0.01</v>
      </c>
    </row>
    <row r="6" customFormat="false" ht="15" hidden="false" customHeight="false" outlineLevel="0" collapsed="false">
      <c r="A6" s="74" t="n">
        <f aca="false">DCF!$B$7+(-0.01)</f>
        <v>-0.01</v>
      </c>
      <c r="B6" s="57" t="n">
        <f aca="false">IF(DCF!$B$12=0,0,IF($A6&gt;B$5,(SUMPRODUCT(DCF!$C$33:$G$33/(1+$A6)^DCF!$C$18:$G$18)+DCF!$G$33*(1+B$5)/($A6-B$5)/(1+$A6)^DCF!$G$18+DCF!$B$44)/DCF!$B$12,NA()))</f>
        <v>0</v>
      </c>
      <c r="C6" s="57" t="n">
        <f aca="false">IF(DCF!$B$12=0,0,IF($A6&gt;C$5,(SUMPRODUCT(DCF!$C$33:$G$33/(1+$A6)^DCF!$C$18:$G$18)+DCF!$G$33*(1+C$5)/($A6-C$5)/(1+$A6)^DCF!$G$18+DCF!$B$44)/DCF!$B$12,NA()))</f>
        <v>0</v>
      </c>
      <c r="D6" s="57" t="n">
        <f aca="false">IF(DCF!$B$12=0,0,IF($A6&gt;D$5,(SUMPRODUCT(DCF!$C$33:$G$33/(1+$A6)^DCF!$C$18:$G$18)+DCF!$G$33*(1+D$5)/($A6-D$5)/(1+$A6)^DCF!$G$18+DCF!$B$44)/DCF!$B$12,NA()))</f>
        <v>0</v>
      </c>
      <c r="E6" s="57" t="n">
        <f aca="false">IF(DCF!$B$12=0,0,IF($A6&gt;E$5,(SUMPRODUCT(DCF!$C$33:$G$33/(1+$A6)^DCF!$C$18:$G$18)+DCF!$G$33*(1+E$5)/($A6-E$5)/(1+$A6)^DCF!$G$18+DCF!$B$44)/DCF!$B$12,NA()))</f>
        <v>0</v>
      </c>
      <c r="F6" s="57" t="n">
        <f aca="false">IF(DCF!$B$12=0,0,IF($A6&gt;F$5,(SUMPRODUCT(DCF!$C$33:$G$33/(1+$A6)^DCF!$C$18:$G$18)+DCF!$G$33*(1+F$5)/($A6-F$5)/(1+$A6)^DCF!$G$18+DCF!$B$44)/DCF!$B$12,NA()))</f>
        <v>0</v>
      </c>
    </row>
    <row r="7" customFormat="false" ht="15" hidden="false" customHeight="false" outlineLevel="0" collapsed="false">
      <c r="A7" s="74" t="n">
        <f aca="false">DCF!$B$7+(-0.005)</f>
        <v>-0.005</v>
      </c>
      <c r="B7" s="57" t="n">
        <f aca="false">IF(DCF!$B$12=0,0,IF($A7&gt;B$5,(SUMPRODUCT(DCF!$C$33:$G$33/(1+$A7)^DCF!$C$18:$G$18)+DCF!$G$33*(1+B$5)/($A7-B$5)/(1+$A7)^DCF!$G$18+DCF!$B$44)/DCF!$B$12,NA()))</f>
        <v>0</v>
      </c>
      <c r="C7" s="57" t="n">
        <f aca="false">IF(DCF!$B$12=0,0,IF($A7&gt;C$5,(SUMPRODUCT(DCF!$C$33:$G$33/(1+$A7)^DCF!$C$18:$G$18)+DCF!$G$33*(1+C$5)/($A7-C$5)/(1+$A7)^DCF!$G$18+DCF!$B$44)/DCF!$B$12,NA()))</f>
        <v>0</v>
      </c>
      <c r="D7" s="57" t="n">
        <f aca="false">IF(DCF!$B$12=0,0,IF($A7&gt;D$5,(SUMPRODUCT(DCF!$C$33:$G$33/(1+$A7)^DCF!$C$18:$G$18)+DCF!$G$33*(1+D$5)/($A7-D$5)/(1+$A7)^DCF!$G$18+DCF!$B$44)/DCF!$B$12,NA()))</f>
        <v>0</v>
      </c>
      <c r="E7" s="57" t="n">
        <f aca="false">IF(DCF!$B$12=0,0,IF($A7&gt;E$5,(SUMPRODUCT(DCF!$C$33:$G$33/(1+$A7)^DCF!$C$18:$G$18)+DCF!$G$33*(1+E$5)/($A7-E$5)/(1+$A7)^DCF!$G$18+DCF!$B$44)/DCF!$B$12,NA()))</f>
        <v>0</v>
      </c>
      <c r="F7" s="57" t="n">
        <f aca="false">IF(DCF!$B$12=0,0,IF($A7&gt;F$5,(SUMPRODUCT(DCF!$C$33:$G$33/(1+$A7)^DCF!$C$18:$G$18)+DCF!$G$33*(1+F$5)/($A7-F$5)/(1+$A7)^DCF!$G$18+DCF!$B$44)/DCF!$B$12,NA()))</f>
        <v>0</v>
      </c>
    </row>
    <row r="8" customFormat="false" ht="15" hidden="false" customHeight="false" outlineLevel="0" collapsed="false">
      <c r="A8" s="74" t="n">
        <f aca="false">DCF!$B$7+(0)</f>
        <v>0</v>
      </c>
      <c r="B8" s="57" t="n">
        <f aca="false">IF(DCF!$B$12=0,0,IF($A8&gt;B$5,(SUMPRODUCT(DCF!$C$33:$G$33/(1+$A8)^DCF!$C$18:$G$18)+DCF!$G$33*(1+B$5)/($A8-B$5)/(1+$A8)^DCF!$G$18+DCF!$B$44)/DCF!$B$12,NA()))</f>
        <v>0</v>
      </c>
      <c r="C8" s="57" t="n">
        <f aca="false">IF(DCF!$B$12=0,0,IF($A8&gt;C$5,(SUMPRODUCT(DCF!$C$33:$G$33/(1+$A8)^DCF!$C$18:$G$18)+DCF!$G$33*(1+C$5)/($A8-C$5)/(1+$A8)^DCF!$G$18+DCF!$B$44)/DCF!$B$12,NA()))</f>
        <v>0</v>
      </c>
      <c r="D8" s="75" t="n">
        <f aca="false">IF(DCF!$B$12=0,0,IF($A8&gt;D$5,(SUMPRODUCT(DCF!$C$33:$G$33/(1+$A8)^DCF!$C$18:$G$18)+DCF!$G$33*(1+D$5)/($A8-D$5)/(1+$A8)^DCF!$G$18+DCF!$B$44)/DCF!$B$12,NA()))</f>
        <v>0</v>
      </c>
      <c r="E8" s="57" t="n">
        <f aca="false">IF(DCF!$B$12=0,0,IF($A8&gt;E$5,(SUMPRODUCT(DCF!$C$33:$G$33/(1+$A8)^DCF!$C$18:$G$18)+DCF!$G$33*(1+E$5)/($A8-E$5)/(1+$A8)^DCF!$G$18+DCF!$B$44)/DCF!$B$12,NA()))</f>
        <v>0</v>
      </c>
      <c r="F8" s="57" t="n">
        <f aca="false">IF(DCF!$B$12=0,0,IF($A8&gt;F$5,(SUMPRODUCT(DCF!$C$33:$G$33/(1+$A8)^DCF!$C$18:$G$18)+DCF!$G$33*(1+F$5)/($A8-F$5)/(1+$A8)^DCF!$G$18+DCF!$B$44)/DCF!$B$12,NA()))</f>
        <v>0</v>
      </c>
    </row>
    <row r="9" customFormat="false" ht="15" hidden="false" customHeight="false" outlineLevel="0" collapsed="false">
      <c r="A9" s="74" t="n">
        <f aca="false">DCF!$B$7+(0.005)</f>
        <v>0.005</v>
      </c>
      <c r="B9" s="57" t="n">
        <f aca="false">IF(DCF!$B$12=0,0,IF($A9&gt;B$5,(SUMPRODUCT(DCF!$C$33:$G$33/(1+$A9)^DCF!$C$18:$G$18)+DCF!$G$33*(1+B$5)/($A9-B$5)/(1+$A9)^DCF!$G$18+DCF!$B$44)/DCF!$B$12,NA()))</f>
        <v>0</v>
      </c>
      <c r="C9" s="57" t="n">
        <f aca="false">IF(DCF!$B$12=0,0,IF($A9&gt;C$5,(SUMPRODUCT(DCF!$C$33:$G$33/(1+$A9)^DCF!$C$18:$G$18)+DCF!$G$33*(1+C$5)/($A9-C$5)/(1+$A9)^DCF!$G$18+DCF!$B$44)/DCF!$B$12,NA()))</f>
        <v>0</v>
      </c>
      <c r="D9" s="57" t="n">
        <f aca="false">IF(DCF!$B$12=0,0,IF($A9&gt;D$5,(SUMPRODUCT(DCF!$C$33:$G$33/(1+$A9)^DCF!$C$18:$G$18)+DCF!$G$33*(1+D$5)/($A9-D$5)/(1+$A9)^DCF!$G$18+DCF!$B$44)/DCF!$B$12,NA()))</f>
        <v>0</v>
      </c>
      <c r="E9" s="57" t="n">
        <f aca="false">IF(DCF!$B$12=0,0,IF($A9&gt;E$5,(SUMPRODUCT(DCF!$C$33:$G$33/(1+$A9)^DCF!$C$18:$G$18)+DCF!$G$33*(1+E$5)/($A9-E$5)/(1+$A9)^DCF!$G$18+DCF!$B$44)/DCF!$B$12,NA()))</f>
        <v>0</v>
      </c>
      <c r="F9" s="57" t="n">
        <f aca="false">IF(DCF!$B$12=0,0,IF($A9&gt;F$5,(SUMPRODUCT(DCF!$C$33:$G$33/(1+$A9)^DCF!$C$18:$G$18)+DCF!$G$33*(1+F$5)/($A9-F$5)/(1+$A9)^DCF!$G$18+DCF!$B$44)/DCF!$B$12,NA()))</f>
        <v>0</v>
      </c>
    </row>
    <row r="10" customFormat="false" ht="15" hidden="false" customHeight="false" outlineLevel="0" collapsed="false">
      <c r="A10" s="74" t="n">
        <f aca="false">DCF!$B$7+(0.01)</f>
        <v>0.01</v>
      </c>
      <c r="B10" s="57" t="n">
        <f aca="false">IF(DCF!$B$12=0,0,IF($A10&gt;B$5,(SUMPRODUCT(DCF!$C$33:$G$33/(1+$A10)^DCF!$C$18:$G$18)+DCF!$G$33*(1+B$5)/($A10-B$5)/(1+$A10)^DCF!$G$18+DCF!$B$44)/DCF!$B$12,NA()))</f>
        <v>0</v>
      </c>
      <c r="C10" s="57" t="n">
        <f aca="false">IF(DCF!$B$12=0,0,IF($A10&gt;C$5,(SUMPRODUCT(DCF!$C$33:$G$33/(1+$A10)^DCF!$C$18:$G$18)+DCF!$G$33*(1+C$5)/($A10-C$5)/(1+$A10)^DCF!$G$18+DCF!$B$44)/DCF!$B$12,NA()))</f>
        <v>0</v>
      </c>
      <c r="D10" s="57" t="n">
        <f aca="false">IF(DCF!$B$12=0,0,IF($A10&gt;D$5,(SUMPRODUCT(DCF!$C$33:$G$33/(1+$A10)^DCF!$C$18:$G$18)+DCF!$G$33*(1+D$5)/($A10-D$5)/(1+$A10)^DCF!$G$18+DCF!$B$44)/DCF!$B$12,NA()))</f>
        <v>0</v>
      </c>
      <c r="E10" s="57" t="n">
        <f aca="false">IF(DCF!$B$12=0,0,IF($A10&gt;E$5,(SUMPRODUCT(DCF!$C$33:$G$33/(1+$A10)^DCF!$C$18:$G$18)+DCF!$G$33*(1+E$5)/($A10-E$5)/(1+$A10)^DCF!$G$18+DCF!$B$44)/DCF!$B$12,NA()))</f>
        <v>0</v>
      </c>
      <c r="F10" s="57" t="n">
        <f aca="false">IF(DCF!$B$12=0,0,IF($A10&gt;F$5,(SUMPRODUCT(DCF!$C$33:$G$33/(1+$A10)^DCF!$C$18:$G$18)+DCF!$G$33*(1+F$5)/($A10-F$5)/(1+$A10)^DCF!$G$18+DCF!$B$44)/DCF!$B$12,NA()))</f>
        <v>0</v>
      </c>
    </row>
    <row r="13" customFormat="false" ht="15" hidden="false" customHeight="false" outlineLevel="0" collapsed="false">
      <c r="A13" s="28" t="s">
        <v>235</v>
      </c>
      <c r="B13" s="28"/>
      <c r="C13" s="28"/>
      <c r="D13" s="28"/>
      <c r="E13" s="28"/>
      <c r="F13" s="28"/>
    </row>
    <row r="14" customFormat="false" ht="15" hidden="false" customHeight="false" outlineLevel="0" collapsed="false">
      <c r="A14" s="28" t="s">
        <v>234</v>
      </c>
      <c r="B14" s="73" t="n">
        <f aca="false">DCF!$B$8+(-0.01)</f>
        <v>-0.01</v>
      </c>
      <c r="C14" s="73" t="n">
        <f aca="false">DCF!$B$8+(-0.005)</f>
        <v>-0.005</v>
      </c>
      <c r="D14" s="73" t="n">
        <f aca="false">DCF!$B$8+(0)</f>
        <v>0</v>
      </c>
      <c r="E14" s="73" t="n">
        <f aca="false">DCF!$B$8+(0.005)</f>
        <v>0.005</v>
      </c>
      <c r="F14" s="73" t="n">
        <f aca="false">DCF!$B$8+(0.01)</f>
        <v>0.01</v>
      </c>
    </row>
    <row r="15" customFormat="false" ht="15" hidden="false" customHeight="false" outlineLevel="0" collapsed="false">
      <c r="A15" s="74" t="n">
        <f aca="false">DCF!$B$7+(-0.01)</f>
        <v>-0.01</v>
      </c>
      <c r="B15" s="40" t="n">
        <f aca="false">IF(DCF!$B$12=0,0,IF($A15&gt;B$14,SUMPRODUCT(DCF!$C$33:$G$33/(1+$A15)^DCF!$C$18:$G$18)+DCF!$G$33*(1+B$14)/($A15-B$14)/(1+$A15)^DCF!$G$18,NA()))</f>
        <v>0</v>
      </c>
      <c r="C15" s="40" t="n">
        <f aca="false">IF(DCF!$B$12=0,0,IF($A15&gt;C$14,SUMPRODUCT(DCF!$C$33:$G$33/(1+$A15)^DCF!$C$18:$G$18)+DCF!$G$33*(1+C$14)/($A15-C$14)/(1+$A15)^DCF!$G$18,NA()))</f>
        <v>0</v>
      </c>
      <c r="D15" s="40" t="n">
        <f aca="false">IF(DCF!$B$12=0,0,IF($A15&gt;D$14,SUMPRODUCT(DCF!$C$33:$G$33/(1+$A15)^DCF!$C$18:$G$18)+DCF!$G$33*(1+D$14)/($A15-D$14)/(1+$A15)^DCF!$G$18,NA()))</f>
        <v>0</v>
      </c>
      <c r="E15" s="40" t="n">
        <f aca="false">IF(DCF!$B$12=0,0,IF($A15&gt;E$14,SUMPRODUCT(DCF!$C$33:$G$33/(1+$A15)^DCF!$C$18:$G$18)+DCF!$G$33*(1+E$14)/($A15-E$14)/(1+$A15)^DCF!$G$18,NA()))</f>
        <v>0</v>
      </c>
      <c r="F15" s="40" t="n">
        <f aca="false">IF(DCF!$B$12=0,0,IF($A15&gt;F$14,SUMPRODUCT(DCF!$C$33:$G$33/(1+$A15)^DCF!$C$18:$G$18)+DCF!$G$33*(1+F$14)/($A15-F$14)/(1+$A15)^DCF!$G$18,NA()))</f>
        <v>0</v>
      </c>
    </row>
    <row r="16" customFormat="false" ht="15" hidden="false" customHeight="false" outlineLevel="0" collapsed="false">
      <c r="A16" s="74" t="n">
        <f aca="false">DCF!$B$7+(-0.005)</f>
        <v>-0.005</v>
      </c>
      <c r="B16" s="40" t="n">
        <f aca="false">IF(DCF!$B$12=0,0,IF($A16&gt;B$14,SUMPRODUCT(DCF!$C$33:$G$33/(1+$A16)^DCF!$C$18:$G$18)+DCF!$G$33*(1+B$14)/($A16-B$14)/(1+$A16)^DCF!$G$18,NA()))</f>
        <v>0</v>
      </c>
      <c r="C16" s="40" t="n">
        <f aca="false">IF(DCF!$B$12=0,0,IF($A16&gt;C$14,SUMPRODUCT(DCF!$C$33:$G$33/(1+$A16)^DCF!$C$18:$G$18)+DCF!$G$33*(1+C$14)/($A16-C$14)/(1+$A16)^DCF!$G$18,NA()))</f>
        <v>0</v>
      </c>
      <c r="D16" s="40" t="n">
        <f aca="false">IF(DCF!$B$12=0,0,IF($A16&gt;D$14,SUMPRODUCT(DCF!$C$33:$G$33/(1+$A16)^DCF!$C$18:$G$18)+DCF!$G$33*(1+D$14)/($A16-D$14)/(1+$A16)^DCF!$G$18,NA()))</f>
        <v>0</v>
      </c>
      <c r="E16" s="40" t="n">
        <f aca="false">IF(DCF!$B$12=0,0,IF($A16&gt;E$14,SUMPRODUCT(DCF!$C$33:$G$33/(1+$A16)^DCF!$C$18:$G$18)+DCF!$G$33*(1+E$14)/($A16-E$14)/(1+$A16)^DCF!$G$18,NA()))</f>
        <v>0</v>
      </c>
      <c r="F16" s="40" t="n">
        <f aca="false">IF(DCF!$B$12=0,0,IF($A16&gt;F$14,SUMPRODUCT(DCF!$C$33:$G$33/(1+$A16)^DCF!$C$18:$G$18)+DCF!$G$33*(1+F$14)/($A16-F$14)/(1+$A16)^DCF!$G$18,NA()))</f>
        <v>0</v>
      </c>
    </row>
    <row r="17" customFormat="false" ht="15" hidden="false" customHeight="false" outlineLevel="0" collapsed="false">
      <c r="A17" s="74" t="n">
        <f aca="false">DCF!$B$7+(0)</f>
        <v>0</v>
      </c>
      <c r="B17" s="40" t="n">
        <f aca="false">IF(DCF!$B$12=0,0,IF($A17&gt;B$14,SUMPRODUCT(DCF!$C$33:$G$33/(1+$A17)^DCF!$C$18:$G$18)+DCF!$G$33*(1+B$14)/($A17-B$14)/(1+$A17)^DCF!$G$18,NA()))</f>
        <v>0</v>
      </c>
      <c r="C17" s="40" t="n">
        <f aca="false">IF(DCF!$B$12=0,0,IF($A17&gt;C$14,SUMPRODUCT(DCF!$C$33:$G$33/(1+$A17)^DCF!$C$18:$G$18)+DCF!$G$33*(1+C$14)/($A17-C$14)/(1+$A17)^DCF!$G$18,NA()))</f>
        <v>0</v>
      </c>
      <c r="D17" s="76" t="n">
        <f aca="false">IF(DCF!$B$12=0,0,IF($A17&gt;D$14,SUMPRODUCT(DCF!$C$33:$G$33/(1+$A17)^DCF!$C$18:$G$18)+DCF!$G$33*(1+D$14)/($A17-D$14)/(1+$A17)^DCF!$G$18,NA()))</f>
        <v>0</v>
      </c>
      <c r="E17" s="40" t="n">
        <f aca="false">IF(DCF!$B$12=0,0,IF($A17&gt;E$14,SUMPRODUCT(DCF!$C$33:$G$33/(1+$A17)^DCF!$C$18:$G$18)+DCF!$G$33*(1+E$14)/($A17-E$14)/(1+$A17)^DCF!$G$18,NA()))</f>
        <v>0</v>
      </c>
      <c r="F17" s="40" t="n">
        <f aca="false">IF(DCF!$B$12=0,0,IF($A17&gt;F$14,SUMPRODUCT(DCF!$C$33:$G$33/(1+$A17)^DCF!$C$18:$G$18)+DCF!$G$33*(1+F$14)/($A17-F$14)/(1+$A17)^DCF!$G$18,NA()))</f>
        <v>0</v>
      </c>
    </row>
    <row r="18" customFormat="false" ht="15" hidden="false" customHeight="false" outlineLevel="0" collapsed="false">
      <c r="A18" s="74" t="n">
        <f aca="false">DCF!$B$7+(0.005)</f>
        <v>0.005</v>
      </c>
      <c r="B18" s="40" t="n">
        <f aca="false">IF(DCF!$B$12=0,0,IF($A18&gt;B$14,SUMPRODUCT(DCF!$C$33:$G$33/(1+$A18)^DCF!$C$18:$G$18)+DCF!$G$33*(1+B$14)/($A18-B$14)/(1+$A18)^DCF!$G$18,NA()))</f>
        <v>0</v>
      </c>
      <c r="C18" s="40" t="n">
        <f aca="false">IF(DCF!$B$12=0,0,IF($A18&gt;C$14,SUMPRODUCT(DCF!$C$33:$G$33/(1+$A18)^DCF!$C$18:$G$18)+DCF!$G$33*(1+C$14)/($A18-C$14)/(1+$A18)^DCF!$G$18,NA()))</f>
        <v>0</v>
      </c>
      <c r="D18" s="40" t="n">
        <f aca="false">IF(DCF!$B$12=0,0,IF($A18&gt;D$14,SUMPRODUCT(DCF!$C$33:$G$33/(1+$A18)^DCF!$C$18:$G$18)+DCF!$G$33*(1+D$14)/($A18-D$14)/(1+$A18)^DCF!$G$18,NA()))</f>
        <v>0</v>
      </c>
      <c r="E18" s="40" t="n">
        <f aca="false">IF(DCF!$B$12=0,0,IF($A18&gt;E$14,SUMPRODUCT(DCF!$C$33:$G$33/(1+$A18)^DCF!$C$18:$G$18)+DCF!$G$33*(1+E$14)/($A18-E$14)/(1+$A18)^DCF!$G$18,NA()))</f>
        <v>0</v>
      </c>
      <c r="F18" s="40" t="n">
        <f aca="false">IF(DCF!$B$12=0,0,IF($A18&gt;F$14,SUMPRODUCT(DCF!$C$33:$G$33/(1+$A18)^DCF!$C$18:$G$18)+DCF!$G$33*(1+F$14)/($A18-F$14)/(1+$A18)^DCF!$G$18,NA()))</f>
        <v>0</v>
      </c>
    </row>
    <row r="19" customFormat="false" ht="15" hidden="false" customHeight="false" outlineLevel="0" collapsed="false">
      <c r="A19" s="74" t="n">
        <f aca="false">DCF!$B$7+(0.01)</f>
        <v>0.01</v>
      </c>
      <c r="B19" s="40" t="n">
        <f aca="false">IF(DCF!$B$12=0,0,IF($A19&gt;B$14,SUMPRODUCT(DCF!$C$33:$G$33/(1+$A19)^DCF!$C$18:$G$18)+DCF!$G$33*(1+B$14)/($A19-B$14)/(1+$A19)^DCF!$G$18,NA()))</f>
        <v>0</v>
      </c>
      <c r="C19" s="40" t="n">
        <f aca="false">IF(DCF!$B$12=0,0,IF($A19&gt;C$14,SUMPRODUCT(DCF!$C$33:$G$33/(1+$A19)^DCF!$C$18:$G$18)+DCF!$G$33*(1+C$14)/($A19-C$14)/(1+$A19)^DCF!$G$18,NA()))</f>
        <v>0</v>
      </c>
      <c r="D19" s="40" t="n">
        <f aca="false">IF(DCF!$B$12=0,0,IF($A19&gt;D$14,SUMPRODUCT(DCF!$C$33:$G$33/(1+$A19)^DCF!$C$18:$G$18)+DCF!$G$33*(1+D$14)/($A19-D$14)/(1+$A19)^DCF!$G$18,NA()))</f>
        <v>0</v>
      </c>
      <c r="E19" s="40" t="n">
        <f aca="false">IF(DCF!$B$12=0,0,IF($A19&gt;E$14,SUMPRODUCT(DCF!$C$33:$G$33/(1+$A19)^DCF!$C$18:$G$18)+DCF!$G$33*(1+E$14)/($A19-E$14)/(1+$A19)^DCF!$G$18,NA()))</f>
        <v>0</v>
      </c>
      <c r="F19" s="40" t="n">
        <f aca="false">IF(DCF!$B$12=0,0,IF($A19&gt;F$14,SUMPRODUCT(DCF!$C$33:$G$33/(1+$A19)^DCF!$C$18:$G$18)+DCF!$G$33*(1+F$14)/($A19-F$14)/(1+$A19)^DCF!$G$18,NA()))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2026-10-06T23:35:22Z</dcterms:created>
  <dc:creator>openpyxl</dc:creator>
  <dc:description/>
  <dc:language>en-US</dc:language>
  <cp:lastModifiedBy/>
  <dcterms:modified xsi:type="dcterms:W3CDTF">2026-10-06T23:35:22Z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